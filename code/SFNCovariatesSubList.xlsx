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meswyngaarden/Documents/GitHub/rf1-sra-socdoors/code/"/>
    </mc:Choice>
  </mc:AlternateContent>
  <xr:revisionPtr revIDLastSave="0" documentId="13_ncr:1_{6184BF09-DB11-5B4B-A8A0-D495EE59485C}" xr6:coauthVersionLast="47" xr6:coauthVersionMax="47" xr10:uidLastSave="{00000000-0000-0000-0000-000000000000}"/>
  <bookViews>
    <workbookView xWindow="0" yWindow="500" windowWidth="28800" windowHeight="16540" activeTab="4" xr2:uid="{E21B9450-44FE-AB4C-A453-866E41E6C653}"/>
  </bookViews>
  <sheets>
    <sheet name="Sheet1" sheetId="1" r:id="rId1"/>
    <sheet name="age-only" sheetId="2" r:id="rId2"/>
    <sheet name="ageXnbs" sheetId="3" r:id="rId3"/>
    <sheet name="ageXoafem" sheetId="4" r:id="rId4"/>
    <sheet name="ageXnbsXoafem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2" i="1"/>
  <c r="H60" i="1"/>
  <c r="G3" i="1"/>
  <c r="G20" i="1"/>
  <c r="G30" i="1"/>
  <c r="G45" i="1"/>
  <c r="G54" i="1"/>
  <c r="G59" i="1"/>
  <c r="E17" i="1"/>
  <c r="E35" i="1"/>
  <c r="E51" i="1"/>
  <c r="D60" i="1"/>
  <c r="F60" i="1"/>
  <c r="G9" i="1" s="1"/>
  <c r="B60" i="1"/>
  <c r="C5" i="1" l="1"/>
  <c r="C32" i="1"/>
  <c r="C49" i="1"/>
  <c r="C50" i="1"/>
  <c r="C56" i="1"/>
  <c r="C33" i="1"/>
  <c r="C8" i="1"/>
  <c r="C9" i="1"/>
  <c r="C10" i="1"/>
  <c r="E7" i="1"/>
  <c r="E20" i="1"/>
  <c r="E36" i="1"/>
  <c r="E52" i="1"/>
  <c r="E9" i="1"/>
  <c r="E41" i="1"/>
  <c r="E10" i="1"/>
  <c r="E42" i="1"/>
  <c r="E11" i="1"/>
  <c r="E46" i="1"/>
  <c r="E12" i="1"/>
  <c r="E49" i="1"/>
  <c r="E3" i="1"/>
  <c r="E22" i="1"/>
  <c r="E38" i="1"/>
  <c r="E54" i="1"/>
  <c r="E25" i="1"/>
  <c r="E59" i="1"/>
  <c r="E26" i="1"/>
  <c r="E2" i="1"/>
  <c r="E27" i="1"/>
  <c r="E28" i="1"/>
  <c r="E14" i="1"/>
  <c r="E34" i="1"/>
  <c r="E50" i="1"/>
  <c r="C26" i="1"/>
  <c r="G56" i="1"/>
  <c r="G21" i="1"/>
  <c r="G46" i="1"/>
  <c r="G44" i="1"/>
  <c r="G35" i="1"/>
  <c r="G5" i="1"/>
  <c r="G19" i="1"/>
  <c r="G8" i="1"/>
  <c r="G6" i="1"/>
  <c r="G2" i="1"/>
  <c r="G32" i="1"/>
  <c r="G4" i="1"/>
  <c r="C57" i="1"/>
  <c r="C34" i="1"/>
  <c r="C16" i="1"/>
  <c r="G48" i="1"/>
  <c r="G36" i="1"/>
  <c r="G22" i="1"/>
  <c r="G11" i="1"/>
  <c r="C25" i="1"/>
  <c r="C24" i="1"/>
  <c r="G40" i="1"/>
  <c r="G28" i="1"/>
  <c r="G14" i="1"/>
  <c r="C18" i="1"/>
  <c r="E58" i="1"/>
  <c r="E44" i="1"/>
  <c r="E33" i="1"/>
  <c r="E19" i="1"/>
  <c r="E6" i="1"/>
  <c r="G52" i="1"/>
  <c r="G38" i="1"/>
  <c r="G27" i="1"/>
  <c r="G13" i="1"/>
  <c r="C48" i="1"/>
  <c r="G43" i="1"/>
  <c r="G29" i="1"/>
  <c r="G16" i="1"/>
  <c r="C42" i="1"/>
  <c r="G53" i="1"/>
  <c r="C41" i="1"/>
  <c r="C58" i="1"/>
  <c r="C40" i="1"/>
  <c r="C17" i="1"/>
  <c r="E57" i="1"/>
  <c r="E43" i="1"/>
  <c r="E30" i="1"/>
  <c r="E18" i="1"/>
  <c r="E4" i="1"/>
  <c r="G51" i="1"/>
  <c r="G37" i="1"/>
  <c r="G24" i="1"/>
  <c r="G12" i="1"/>
  <c r="C31" i="1"/>
  <c r="C15" i="1"/>
  <c r="C2" i="1"/>
  <c r="C52" i="1"/>
  <c r="C44" i="1"/>
  <c r="C36" i="1"/>
  <c r="C28" i="1"/>
  <c r="C20" i="1"/>
  <c r="C12" i="1"/>
  <c r="C4" i="1"/>
  <c r="C59" i="1"/>
  <c r="C51" i="1"/>
  <c r="C43" i="1"/>
  <c r="C35" i="1"/>
  <c r="C27" i="1"/>
  <c r="C19" i="1"/>
  <c r="C11" i="1"/>
  <c r="C3" i="1"/>
  <c r="E53" i="1"/>
  <c r="E45" i="1"/>
  <c r="E37" i="1"/>
  <c r="E29" i="1"/>
  <c r="E21" i="1"/>
  <c r="E13" i="1"/>
  <c r="E5" i="1"/>
  <c r="G55" i="1"/>
  <c r="G47" i="1"/>
  <c r="G39" i="1"/>
  <c r="G31" i="1"/>
  <c r="G23" i="1"/>
  <c r="G15" i="1"/>
  <c r="G7" i="1"/>
  <c r="C55" i="1"/>
  <c r="C39" i="1"/>
  <c r="C7" i="1"/>
  <c r="C54" i="1"/>
  <c r="C46" i="1"/>
  <c r="C38" i="1"/>
  <c r="C30" i="1"/>
  <c r="C22" i="1"/>
  <c r="C14" i="1"/>
  <c r="C6" i="1"/>
  <c r="E56" i="1"/>
  <c r="E48" i="1"/>
  <c r="E40" i="1"/>
  <c r="E32" i="1"/>
  <c r="E24" i="1"/>
  <c r="E16" i="1"/>
  <c r="E8" i="1"/>
  <c r="G58" i="1"/>
  <c r="G50" i="1"/>
  <c r="G42" i="1"/>
  <c r="G34" i="1"/>
  <c r="G26" i="1"/>
  <c r="G18" i="1"/>
  <c r="G10" i="1"/>
  <c r="C47" i="1"/>
  <c r="C23" i="1"/>
  <c r="C53" i="1"/>
  <c r="C45" i="1"/>
  <c r="C37" i="1"/>
  <c r="C29" i="1"/>
  <c r="C21" i="1"/>
  <c r="C13" i="1"/>
  <c r="E55" i="1"/>
  <c r="E47" i="1"/>
  <c r="E39" i="1"/>
  <c r="E31" i="1"/>
  <c r="E23" i="1"/>
  <c r="E15" i="1"/>
  <c r="G57" i="1"/>
  <c r="G49" i="1"/>
  <c r="G41" i="1"/>
  <c r="G33" i="1"/>
  <c r="G25" i="1"/>
  <c r="G17" i="1"/>
  <c r="L13" i="1" l="1"/>
  <c r="J13" i="1"/>
  <c r="I13" i="1"/>
  <c r="L22" i="1"/>
  <c r="J22" i="1"/>
  <c r="I22" i="1"/>
  <c r="I20" i="1"/>
  <c r="L20" i="1"/>
  <c r="J20" i="1"/>
  <c r="J57" i="1"/>
  <c r="I57" i="1"/>
  <c r="L57" i="1"/>
  <c r="J9" i="1"/>
  <c r="I9" i="1"/>
  <c r="L9" i="1"/>
  <c r="L21" i="1"/>
  <c r="J21" i="1"/>
  <c r="I21" i="1"/>
  <c r="L30" i="1"/>
  <c r="J30" i="1"/>
  <c r="I30" i="1"/>
  <c r="L27" i="1"/>
  <c r="J27" i="1"/>
  <c r="I27" i="1"/>
  <c r="J28" i="1"/>
  <c r="L28" i="1"/>
  <c r="I28" i="1"/>
  <c r="J17" i="1"/>
  <c r="I17" i="1"/>
  <c r="L17" i="1"/>
  <c r="J25" i="1"/>
  <c r="I25" i="1"/>
  <c r="L25" i="1"/>
  <c r="I8" i="1"/>
  <c r="L8" i="1"/>
  <c r="J8" i="1"/>
  <c r="L29" i="1"/>
  <c r="J29" i="1"/>
  <c r="I29" i="1"/>
  <c r="L38" i="1"/>
  <c r="J38" i="1"/>
  <c r="I38" i="1"/>
  <c r="L35" i="1"/>
  <c r="I35" i="1"/>
  <c r="J35" i="1"/>
  <c r="J36" i="1"/>
  <c r="I36" i="1"/>
  <c r="L36" i="1"/>
  <c r="I40" i="1"/>
  <c r="L40" i="1"/>
  <c r="J40" i="1"/>
  <c r="L48" i="1"/>
  <c r="I48" i="1"/>
  <c r="J48" i="1"/>
  <c r="J33" i="1"/>
  <c r="I33" i="1"/>
  <c r="L33" i="1"/>
  <c r="L19" i="1"/>
  <c r="I19" i="1"/>
  <c r="J19" i="1"/>
  <c r="L24" i="1"/>
  <c r="I24" i="1"/>
  <c r="J24" i="1"/>
  <c r="L46" i="1"/>
  <c r="J46" i="1"/>
  <c r="I46" i="1"/>
  <c r="L43" i="1"/>
  <c r="J43" i="1"/>
  <c r="I43" i="1"/>
  <c r="L44" i="1"/>
  <c r="J44" i="1"/>
  <c r="I44" i="1"/>
  <c r="J58" i="1"/>
  <c r="I58" i="1"/>
  <c r="L58" i="1"/>
  <c r="I56" i="1"/>
  <c r="L56" i="1"/>
  <c r="J56" i="1"/>
  <c r="L45" i="1"/>
  <c r="J45" i="1"/>
  <c r="I45" i="1"/>
  <c r="L54" i="1"/>
  <c r="J54" i="1"/>
  <c r="I54" i="1"/>
  <c r="L51" i="1"/>
  <c r="I51" i="1"/>
  <c r="J51" i="1"/>
  <c r="I52" i="1"/>
  <c r="L52" i="1"/>
  <c r="J52" i="1"/>
  <c r="J41" i="1"/>
  <c r="I41" i="1"/>
  <c r="L41" i="1"/>
  <c r="I18" i="1"/>
  <c r="J18" i="1"/>
  <c r="L18" i="1"/>
  <c r="I50" i="1"/>
  <c r="J50" i="1"/>
  <c r="L50" i="1"/>
  <c r="L53" i="1"/>
  <c r="J53" i="1"/>
  <c r="I53" i="1"/>
  <c r="I7" i="1"/>
  <c r="L7" i="1"/>
  <c r="J7" i="1"/>
  <c r="L59" i="1"/>
  <c r="J59" i="1"/>
  <c r="I59" i="1"/>
  <c r="J2" i="1"/>
  <c r="L2" i="1"/>
  <c r="I2" i="1"/>
  <c r="J26" i="1"/>
  <c r="I26" i="1"/>
  <c r="L26" i="1"/>
  <c r="J49" i="1"/>
  <c r="I49" i="1"/>
  <c r="L49" i="1"/>
  <c r="L37" i="1"/>
  <c r="J37" i="1"/>
  <c r="I37" i="1"/>
  <c r="I23" i="1"/>
  <c r="L23" i="1"/>
  <c r="J23" i="1"/>
  <c r="J6" i="1"/>
  <c r="L6" i="1"/>
  <c r="I6" i="1"/>
  <c r="I39" i="1"/>
  <c r="L39" i="1"/>
  <c r="J39" i="1"/>
  <c r="L3" i="1"/>
  <c r="J3" i="1"/>
  <c r="I3" i="1"/>
  <c r="J4" i="1"/>
  <c r="I4" i="1"/>
  <c r="L4" i="1"/>
  <c r="I15" i="1"/>
  <c r="L15" i="1"/>
  <c r="J15" i="1"/>
  <c r="J42" i="1"/>
  <c r="I42" i="1"/>
  <c r="L42" i="1"/>
  <c r="I16" i="1"/>
  <c r="L16" i="1"/>
  <c r="J16" i="1"/>
  <c r="I32" i="1"/>
  <c r="L32" i="1"/>
  <c r="J32" i="1"/>
  <c r="I47" i="1"/>
  <c r="L47" i="1"/>
  <c r="J47" i="1"/>
  <c r="L14" i="1"/>
  <c r="J14" i="1"/>
  <c r="I14" i="1"/>
  <c r="I55" i="1"/>
  <c r="L55" i="1"/>
  <c r="J55" i="1"/>
  <c r="L11" i="1"/>
  <c r="J11" i="1"/>
  <c r="I11" i="1"/>
  <c r="J12" i="1"/>
  <c r="L12" i="1"/>
  <c r="I12" i="1"/>
  <c r="I31" i="1"/>
  <c r="L31" i="1"/>
  <c r="J31" i="1"/>
  <c r="I34" i="1"/>
  <c r="J34" i="1"/>
  <c r="L34" i="1"/>
  <c r="J10" i="1"/>
  <c r="I10" i="1"/>
  <c r="L10" i="1"/>
  <c r="J5" i="1"/>
  <c r="L5" i="1"/>
  <c r="I5" i="1"/>
  <c r="C60" i="1"/>
  <c r="G60" i="1"/>
  <c r="E60" i="1"/>
</calcChain>
</file>

<file path=xl/sharedStrings.xml><?xml version="1.0" encoding="utf-8"?>
<sst xmlns="http://schemas.openxmlformats.org/spreadsheetml/2006/main" count="1081" uniqueCount="162">
  <si>
    <t>tania_subid</t>
  </si>
  <si>
    <t>sub</t>
  </si>
  <si>
    <t>race</t>
  </si>
  <si>
    <t>sub_gender</t>
  </si>
  <si>
    <t>eros_o_score</t>
  </si>
  <si>
    <t>eros_s_score</t>
  </si>
  <si>
    <t>susd_adult_mania</t>
  </si>
  <si>
    <t>susd_adult_depression</t>
  </si>
  <si>
    <t>sogs_total</t>
  </si>
  <si>
    <t>score_tei_wellbeing</t>
  </si>
  <si>
    <t>score_tei_selfcontrol</t>
  </si>
  <si>
    <t>score_tei_emotionality</t>
  </si>
  <si>
    <t>score_tei_sociability</t>
  </si>
  <si>
    <t>score_tei_globaltrait</t>
  </si>
  <si>
    <t>scaared_adult_total</t>
  </si>
  <si>
    <t>scaared_adult_panic</t>
  </si>
  <si>
    <t>scaared_adult_gad</t>
  </si>
  <si>
    <t>scaared_adult_separation</t>
  </si>
  <si>
    <t>scaared_adult_socanx</t>
  </si>
  <si>
    <t>score_aq_socialskill</t>
  </si>
  <si>
    <t>score_aq_attnswitch</t>
  </si>
  <si>
    <t>score_aq_attndetail</t>
  </si>
  <si>
    <t>score_aq_communication</t>
  </si>
  <si>
    <t>score_aq_imagination</t>
  </si>
  <si>
    <t>score_aq_total</t>
  </si>
  <si>
    <t>panas_p_prescan_total</t>
  </si>
  <si>
    <t>panas_n_prescan_total</t>
  </si>
  <si>
    <t>norc_lifetime_total</t>
  </si>
  <si>
    <t>norc_year_total</t>
  </si>
  <si>
    <t>mspss_retest_scoring</t>
  </si>
  <si>
    <t>mspss_retest_friends</t>
  </si>
  <si>
    <t>mspss_retest_family</t>
  </si>
  <si>
    <t>mspss_retest_sig_other</t>
  </si>
  <si>
    <t>nbs_adult_sum</t>
  </si>
  <si>
    <t>bsmas_total</t>
  </si>
  <si>
    <t>gs_short_form_total</t>
  </si>
  <si>
    <t>oafem_total</t>
  </si>
  <si>
    <t>gti_score</t>
  </si>
  <si>
    <t>gs_total</t>
  </si>
  <si>
    <t>crt_score_total</t>
  </si>
  <si>
    <t>iat_total</t>
  </si>
  <si>
    <t>bsas_salience_score</t>
  </si>
  <si>
    <t>bsas_mood_score</t>
  </si>
  <si>
    <t>bsas_conflict_score</t>
  </si>
  <si>
    <t>bsas_tolerance_score</t>
  </si>
  <si>
    <t>bsas_relapse_score</t>
  </si>
  <si>
    <t>bsas_withdrawl_score</t>
  </si>
  <si>
    <t>bsas_problems_score</t>
  </si>
  <si>
    <t>bsas_total_score</t>
  </si>
  <si>
    <t>mach_iv_total</t>
  </si>
  <si>
    <t>mach_iv_sum</t>
  </si>
  <si>
    <t>bpaqsf_total_sum</t>
  </si>
  <si>
    <t>bpaqsf_physical_sum</t>
  </si>
  <si>
    <t>bpaqsf_anger_sum</t>
  </si>
  <si>
    <t>bpaqsf_verbal_sum</t>
  </si>
  <si>
    <t>bpaqsf_hostile_sum</t>
  </si>
  <si>
    <t>pnr_p_total</t>
  </si>
  <si>
    <t>pnr_n_total</t>
  </si>
  <si>
    <t>quic_adult_scoring_parent_involve</t>
  </si>
  <si>
    <t>quic_adult_scoring_parent_predictability</t>
  </si>
  <si>
    <t>quic_adult_scoring_parent_enviornment</t>
  </si>
  <si>
    <t>quic_adult_scoring_parent_physicalenviro</t>
  </si>
  <si>
    <t>quic_adult_scoring_parent_safety</t>
  </si>
  <si>
    <t>plan_score_mf</t>
  </si>
  <si>
    <t>plan_score_to</t>
  </si>
  <si>
    <t>plan_score_cs</t>
  </si>
  <si>
    <t>plan_score_total</t>
  </si>
  <si>
    <t>ctb_1_score</t>
  </si>
  <si>
    <t>ctb_2_score</t>
  </si>
  <si>
    <t>ctb_3_score</t>
  </si>
  <si>
    <t>ctb_4_score</t>
  </si>
  <si>
    <t>scd_score_total</t>
  </si>
  <si>
    <t>nih_sum</t>
  </si>
  <si>
    <t>nih_score_yn</t>
  </si>
  <si>
    <t>hvltimm_equation</t>
  </si>
  <si>
    <t>hvlt_delaytime_equation</t>
  </si>
  <si>
    <t>hvlt_delay_score</t>
  </si>
  <si>
    <t>hvlt_retention</t>
  </si>
  <si>
    <t>hvlt_rec_dis</t>
  </si>
  <si>
    <t>salthouse_let_score</t>
  </si>
  <si>
    <t>salthouse_pat_score</t>
  </si>
  <si>
    <t>har_score</t>
  </si>
  <si>
    <t>kbit_score</t>
  </si>
  <si>
    <t>math_addition_score</t>
  </si>
  <si>
    <t>math_addition_time</t>
  </si>
  <si>
    <t>math_subtraction_score</t>
  </si>
  <si>
    <t>math_subtraction_time</t>
  </si>
  <si>
    <t>math_multiplication_score</t>
  </si>
  <si>
    <t>math_multiplication_time</t>
  </si>
  <si>
    <t>ios_sr_score</t>
  </si>
  <si>
    <t>ios_invest_score</t>
  </si>
  <si>
    <t>ios_friend_score</t>
  </si>
  <si>
    <t>ios_computer_score</t>
  </si>
  <si>
    <t>screener_date</t>
  </si>
  <si>
    <t>dob</t>
  </si>
  <si>
    <t>age_mo</t>
  </si>
  <si>
    <t>gender</t>
  </si>
  <si>
    <t>audit_sum</t>
  </si>
  <si>
    <t>dudit_sum</t>
  </si>
  <si>
    <t>usi_sum</t>
  </si>
  <si>
    <t>fevs_sum</t>
  </si>
  <si>
    <t>pmas_sum</t>
  </si>
  <si>
    <t>pam_total_sum</t>
  </si>
  <si>
    <t>pam_adult_duration</t>
  </si>
  <si>
    <t>pam_adult_interaction</t>
  </si>
  <si>
    <t>pam_adult_knowledge</t>
  </si>
  <si>
    <t>pam_adult_intimate</t>
  </si>
  <si>
    <t>pam_adult_disclose</t>
  </si>
  <si>
    <t>pam_adult_social</t>
  </si>
  <si>
    <t>mspss_sum</t>
  </si>
  <si>
    <t>ses_2</t>
  </si>
  <si>
    <t>ses_03</t>
  </si>
  <si>
    <t>ses_4</t>
  </si>
  <si>
    <t>ses_score_1</t>
  </si>
  <si>
    <t>ses_score_2</t>
  </si>
  <si>
    <t>ses_score_3</t>
  </si>
  <si>
    <t>ses_score_4</t>
  </si>
  <si>
    <t>ses_score_5</t>
  </si>
  <si>
    <t>ses_score_6</t>
  </si>
  <si>
    <t>ses_score_7</t>
  </si>
  <si>
    <t>fraud_score_1</t>
  </si>
  <si>
    <t>fraud_score_2</t>
  </si>
  <si>
    <t>fraud_score_3</t>
  </si>
  <si>
    <t>fraud_score_4</t>
  </si>
  <si>
    <t>dospert_score_e</t>
  </si>
  <si>
    <t>dospert_score_fi_fg</t>
  </si>
  <si>
    <t>dospert_score_hs</t>
  </si>
  <si>
    <t>dospert_score_r</t>
  </si>
  <si>
    <t>dospert_score_s</t>
  </si>
  <si>
    <t>faq_score</t>
  </si>
  <si>
    <t>ecog_score</t>
  </si>
  <si>
    <t>White</t>
  </si>
  <si>
    <t>Female</t>
  </si>
  <si>
    <t>NaN</t>
  </si>
  <si>
    <t>Male</t>
  </si>
  <si>
    <t>Black or African American</t>
  </si>
  <si>
    <t>Asian</t>
  </si>
  <si>
    <t>Two or more races</t>
  </si>
  <si>
    <t>Non-Binary</t>
  </si>
  <si>
    <t>American Indian/Alaska Native</t>
  </si>
  <si>
    <t>Prefer not to respond</t>
  </si>
  <si>
    <t>computer_defect</t>
  </si>
  <si>
    <t>computer_recip</t>
  </si>
  <si>
    <t>stranger_defect</t>
  </si>
  <si>
    <t>stranger_recip</t>
  </si>
  <si>
    <t>friend_defect</t>
  </si>
  <si>
    <t>friend_recip</t>
  </si>
  <si>
    <t>nbs</t>
  </si>
  <si>
    <t>age</t>
  </si>
  <si>
    <t>ageDM</t>
  </si>
  <si>
    <t>ones</t>
  </si>
  <si>
    <t>oafem</t>
  </si>
  <si>
    <t>ageXnbs</t>
  </si>
  <si>
    <t>age*nbs</t>
  </si>
  <si>
    <t>nbsDM</t>
  </si>
  <si>
    <t>oafemDM</t>
  </si>
  <si>
    <t>age*oafem</t>
  </si>
  <si>
    <t>age*nbs*oafem</t>
  </si>
  <si>
    <t>ageXoafem</t>
  </si>
  <si>
    <t>nbsXoafem</t>
  </si>
  <si>
    <t>ageXnbsXoafem</t>
  </si>
  <si>
    <t>nbs*oafem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</si>
</sst>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0" borderId="0" xfId="0" applyFill="1"/>
    <xf numFmtId="164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C04A1-F94E-4949-B87C-4FFD46883FA1}">
  <dimension ref="A1:ES60"/>
  <sheetViews>
    <sheetView workbookViewId="0">
      <pane xSplit="1" ySplit="1" topLeftCell="C27" activePane="bottomRight" state="frozen"/>
      <selection pane="topRight" activeCell="B1" sqref="B1"/>
      <selection pane="bottomLeft" activeCell="A2" sqref="A2"/>
      <selection pane="bottomRight" activeCell="K2" sqref="K2:K59"/>
    </sheetView>
  </sheetViews>
  <sheetFormatPr baseColWidth="10" defaultRowHeight="16" x14ac:dyDescent="0.2"/>
  <cols>
    <col min="93" max="93" width="10.83203125" style="1" customWidth="1"/>
    <col min="94" max="94" width="10.83203125" style="1"/>
  </cols>
  <sheetData>
    <row r="1" spans="1:149" x14ac:dyDescent="0.2">
      <c r="A1" t="s">
        <v>1</v>
      </c>
      <c r="B1" t="s">
        <v>148</v>
      </c>
      <c r="C1" t="s">
        <v>149</v>
      </c>
      <c r="D1" t="s">
        <v>33</v>
      </c>
      <c r="E1" t="s">
        <v>154</v>
      </c>
      <c r="F1" t="s">
        <v>36</v>
      </c>
      <c r="G1" t="s">
        <v>155</v>
      </c>
      <c r="H1" t="s">
        <v>109</v>
      </c>
      <c r="I1" t="s">
        <v>153</v>
      </c>
      <c r="J1" t="s">
        <v>156</v>
      </c>
      <c r="K1" t="s">
        <v>161</v>
      </c>
      <c r="L1" t="s">
        <v>157</v>
      </c>
      <c r="M1" t="s">
        <v>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2</v>
      </c>
      <c r="U1" t="s">
        <v>3</v>
      </c>
      <c r="V1" t="s">
        <v>4</v>
      </c>
      <c r="W1" t="s">
        <v>5</v>
      </c>
      <c r="X1" t="s">
        <v>6</v>
      </c>
      <c r="Y1" t="s">
        <v>7</v>
      </c>
      <c r="Z1" t="s">
        <v>8</v>
      </c>
      <c r="AA1" t="s">
        <v>9</v>
      </c>
      <c r="AB1" t="s">
        <v>10</v>
      </c>
      <c r="AC1" t="s">
        <v>11</v>
      </c>
      <c r="AD1" t="s">
        <v>12</v>
      </c>
      <c r="AE1" t="s">
        <v>13</v>
      </c>
      <c r="AF1" t="s">
        <v>14</v>
      </c>
      <c r="AG1" t="s">
        <v>15</v>
      </c>
      <c r="AH1" t="s">
        <v>16</v>
      </c>
      <c r="AI1" t="s">
        <v>17</v>
      </c>
      <c r="AJ1" t="s">
        <v>18</v>
      </c>
      <c r="AK1" t="s">
        <v>19</v>
      </c>
      <c r="AL1" t="s">
        <v>20</v>
      </c>
      <c r="AM1" t="s">
        <v>21</v>
      </c>
      <c r="AN1" t="s">
        <v>22</v>
      </c>
      <c r="AO1" t="s">
        <v>23</v>
      </c>
      <c r="AP1" t="s">
        <v>24</v>
      </c>
      <c r="AQ1" t="s">
        <v>25</v>
      </c>
      <c r="AR1" t="s">
        <v>26</v>
      </c>
      <c r="AS1" t="s">
        <v>27</v>
      </c>
      <c r="AT1" t="s">
        <v>28</v>
      </c>
      <c r="AU1" t="s">
        <v>29</v>
      </c>
      <c r="AV1" t="s">
        <v>30</v>
      </c>
      <c r="AW1" t="s">
        <v>31</v>
      </c>
      <c r="AX1" t="s">
        <v>32</v>
      </c>
      <c r="AZ1" t="s">
        <v>34</v>
      </c>
      <c r="BA1" t="s">
        <v>35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43</v>
      </c>
      <c r="BJ1" t="s">
        <v>44</v>
      </c>
      <c r="BK1" t="s">
        <v>45</v>
      </c>
      <c r="BL1" t="s">
        <v>46</v>
      </c>
      <c r="BM1" t="s">
        <v>47</v>
      </c>
      <c r="BN1" t="s">
        <v>48</v>
      </c>
      <c r="BO1" t="s">
        <v>49</v>
      </c>
      <c r="BP1" t="s">
        <v>50</v>
      </c>
      <c r="BQ1" t="s">
        <v>51</v>
      </c>
      <c r="BR1" t="s">
        <v>52</v>
      </c>
      <c r="BS1" t="s">
        <v>53</v>
      </c>
      <c r="BT1" t="s">
        <v>54</v>
      </c>
      <c r="BU1" t="s">
        <v>55</v>
      </c>
      <c r="BV1" t="s">
        <v>56</v>
      </c>
      <c r="BW1" t="s">
        <v>57</v>
      </c>
      <c r="BX1" t="s">
        <v>58</v>
      </c>
      <c r="BY1" t="s">
        <v>59</v>
      </c>
      <c r="BZ1" t="s">
        <v>60</v>
      </c>
      <c r="CA1" t="s">
        <v>61</v>
      </c>
      <c r="CB1" t="s">
        <v>62</v>
      </c>
      <c r="CC1" t="s">
        <v>63</v>
      </c>
      <c r="CD1" t="s">
        <v>64</v>
      </c>
      <c r="CE1" t="s">
        <v>65</v>
      </c>
      <c r="CF1" t="s">
        <v>66</v>
      </c>
      <c r="CG1" t="s">
        <v>67</v>
      </c>
      <c r="CH1" t="s">
        <v>68</v>
      </c>
      <c r="CI1" t="s">
        <v>69</v>
      </c>
      <c r="CJ1" t="s">
        <v>70</v>
      </c>
      <c r="CK1" t="s">
        <v>71</v>
      </c>
      <c r="CL1" t="s">
        <v>72</v>
      </c>
      <c r="CM1" t="s">
        <v>73</v>
      </c>
      <c r="CN1" t="s">
        <v>74</v>
      </c>
      <c r="CO1" t="s">
        <v>75</v>
      </c>
      <c r="CP1" t="s">
        <v>76</v>
      </c>
      <c r="CQ1" t="s">
        <v>77</v>
      </c>
      <c r="CR1" t="s">
        <v>78</v>
      </c>
      <c r="CS1" t="s">
        <v>79</v>
      </c>
      <c r="CT1" t="s">
        <v>80</v>
      </c>
      <c r="CU1" s="1" t="s">
        <v>81</v>
      </c>
      <c r="CV1" s="1" t="s">
        <v>82</v>
      </c>
      <c r="CW1" t="s">
        <v>83</v>
      </c>
      <c r="CX1" t="s">
        <v>84</v>
      </c>
      <c r="CY1" t="s">
        <v>85</v>
      </c>
      <c r="CZ1" t="s">
        <v>86</v>
      </c>
      <c r="DA1" t="s">
        <v>87</v>
      </c>
      <c r="DB1" t="s">
        <v>88</v>
      </c>
      <c r="DC1" t="s">
        <v>89</v>
      </c>
      <c r="DD1" t="s">
        <v>90</v>
      </c>
      <c r="DE1" t="s">
        <v>91</v>
      </c>
      <c r="DF1" t="s">
        <v>92</v>
      </c>
      <c r="DG1" t="s">
        <v>93</v>
      </c>
      <c r="DH1" t="s">
        <v>94</v>
      </c>
      <c r="DI1" t="s">
        <v>95</v>
      </c>
      <c r="DJ1" t="s">
        <v>2</v>
      </c>
      <c r="DK1" t="s">
        <v>96</v>
      </c>
      <c r="DL1" t="s">
        <v>97</v>
      </c>
      <c r="DM1" t="s">
        <v>98</v>
      </c>
      <c r="DN1" t="s">
        <v>99</v>
      </c>
      <c r="DO1" t="s">
        <v>100</v>
      </c>
      <c r="DP1" t="s">
        <v>101</v>
      </c>
      <c r="DQ1" t="s">
        <v>102</v>
      </c>
      <c r="DR1" t="s">
        <v>103</v>
      </c>
      <c r="DS1" t="s">
        <v>104</v>
      </c>
      <c r="DT1" t="s">
        <v>105</v>
      </c>
      <c r="DU1" t="s">
        <v>106</v>
      </c>
      <c r="DV1" t="s">
        <v>107</v>
      </c>
      <c r="DW1" t="s">
        <v>108</v>
      </c>
      <c r="DY1" t="s">
        <v>110</v>
      </c>
      <c r="DZ1" t="s">
        <v>111</v>
      </c>
      <c r="EA1" t="s">
        <v>112</v>
      </c>
      <c r="EB1" t="s">
        <v>113</v>
      </c>
      <c r="EC1" t="s">
        <v>114</v>
      </c>
      <c r="ED1" t="s">
        <v>115</v>
      </c>
      <c r="EE1" t="s">
        <v>116</v>
      </c>
      <c r="EF1" t="s">
        <v>117</v>
      </c>
      <c r="EG1" t="s">
        <v>118</v>
      </c>
      <c r="EH1" t="s">
        <v>119</v>
      </c>
      <c r="EI1" t="s">
        <v>120</v>
      </c>
      <c r="EJ1" t="s">
        <v>121</v>
      </c>
      <c r="EK1" t="s">
        <v>122</v>
      </c>
      <c r="EL1" t="s">
        <v>123</v>
      </c>
      <c r="EM1" t="s">
        <v>124</v>
      </c>
      <c r="EN1" t="s">
        <v>125</v>
      </c>
      <c r="EO1" t="s">
        <v>126</v>
      </c>
      <c r="EP1" t="s">
        <v>127</v>
      </c>
      <c r="EQ1" t="s">
        <v>128</v>
      </c>
      <c r="ER1" t="s">
        <v>129</v>
      </c>
      <c r="ES1" t="s">
        <v>130</v>
      </c>
    </row>
    <row r="2" spans="1:149" x14ac:dyDescent="0.2">
      <c r="A2">
        <v>10369</v>
      </c>
      <c r="B2">
        <v>31.95</v>
      </c>
      <c r="C2">
        <f>B2-$B$60</f>
        <v>-11.102413793103448</v>
      </c>
      <c r="D2">
        <v>2.7</v>
      </c>
      <c r="E2">
        <f>D2-$D$60</f>
        <v>-0.37931034482758585</v>
      </c>
      <c r="F2">
        <v>0</v>
      </c>
      <c r="G2">
        <f>F2-$F$60</f>
        <v>-7.431034482758621</v>
      </c>
      <c r="H2">
        <v>4.5</v>
      </c>
      <c r="I2">
        <f>C2*E2</f>
        <v>4.2112604042806145</v>
      </c>
      <c r="J2">
        <f>C2*G2</f>
        <v>82.502419738406658</v>
      </c>
      <c r="K2">
        <f>E2*G2</f>
        <v>2.8186682520808537</v>
      </c>
      <c r="L2">
        <f>C2*E2*G2</f>
        <v>-31.294021280085257</v>
      </c>
      <c r="M2">
        <v>30791</v>
      </c>
      <c r="N2">
        <v>4.5</v>
      </c>
      <c r="O2">
        <v>4.2857139999999996</v>
      </c>
      <c r="P2">
        <v>3</v>
      </c>
      <c r="Q2">
        <v>4.8</v>
      </c>
      <c r="R2">
        <v>5.4285709999999998</v>
      </c>
      <c r="S2">
        <v>4.6666670000000003</v>
      </c>
      <c r="T2" t="s">
        <v>131</v>
      </c>
      <c r="U2" t="s">
        <v>134</v>
      </c>
      <c r="V2">
        <v>4.5599999999999996</v>
      </c>
      <c r="W2">
        <v>3.44</v>
      </c>
      <c r="X2">
        <v>0</v>
      </c>
      <c r="Y2">
        <v>8</v>
      </c>
      <c r="Z2">
        <v>1</v>
      </c>
      <c r="AA2">
        <v>3.5</v>
      </c>
      <c r="AB2">
        <v>3.83</v>
      </c>
      <c r="AC2">
        <v>5.13</v>
      </c>
      <c r="AD2">
        <v>4.67</v>
      </c>
      <c r="AE2">
        <v>4.3</v>
      </c>
      <c r="AF2">
        <v>18</v>
      </c>
      <c r="AG2">
        <v>5</v>
      </c>
      <c r="AH2">
        <v>10</v>
      </c>
      <c r="AI2">
        <v>0</v>
      </c>
      <c r="AJ2">
        <v>3</v>
      </c>
      <c r="AK2">
        <v>2</v>
      </c>
      <c r="AL2">
        <v>7</v>
      </c>
      <c r="AM2">
        <v>5</v>
      </c>
      <c r="AN2">
        <v>5</v>
      </c>
      <c r="AO2">
        <v>2</v>
      </c>
      <c r="AP2">
        <v>21</v>
      </c>
      <c r="AQ2">
        <v>26</v>
      </c>
      <c r="AR2">
        <v>10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Z2">
        <v>13</v>
      </c>
      <c r="BA2">
        <v>2.25</v>
      </c>
      <c r="BC2">
        <v>0</v>
      </c>
      <c r="BD2">
        <v>2.63</v>
      </c>
      <c r="BE2">
        <v>44.05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20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8991</v>
      </c>
      <c r="BY2">
        <v>0</v>
      </c>
      <c r="BZ2">
        <v>0</v>
      </c>
      <c r="CA2">
        <v>0</v>
      </c>
      <c r="CB2">
        <v>0</v>
      </c>
      <c r="CC2">
        <v>3.6</v>
      </c>
      <c r="CD2">
        <v>3.9</v>
      </c>
      <c r="CE2">
        <v>3.5</v>
      </c>
      <c r="CF2">
        <v>3.67</v>
      </c>
      <c r="CG2">
        <v>6</v>
      </c>
      <c r="CH2">
        <v>5.6666666666666599</v>
      </c>
      <c r="CI2">
        <v>6</v>
      </c>
      <c r="CJ2">
        <v>5.6666666666666599</v>
      </c>
      <c r="CK2">
        <v>0.75</v>
      </c>
      <c r="CL2">
        <v>0</v>
      </c>
      <c r="CM2">
        <v>0</v>
      </c>
      <c r="CN2">
        <v>18</v>
      </c>
      <c r="CO2">
        <v>25</v>
      </c>
      <c r="CP2">
        <v>4</v>
      </c>
      <c r="CQ2">
        <v>0.57142857142856995</v>
      </c>
      <c r="CR2">
        <v>18</v>
      </c>
      <c r="CS2">
        <v>42</v>
      </c>
      <c r="CT2">
        <v>41</v>
      </c>
      <c r="CU2" s="1">
        <v>23</v>
      </c>
      <c r="CV2" s="1">
        <v>33</v>
      </c>
      <c r="CW2">
        <v>38</v>
      </c>
      <c r="CX2">
        <v>60</v>
      </c>
      <c r="CY2">
        <v>42</v>
      </c>
      <c r="CZ2">
        <v>60</v>
      </c>
      <c r="DA2">
        <v>38</v>
      </c>
      <c r="DB2">
        <v>60</v>
      </c>
      <c r="DC2">
        <v>0</v>
      </c>
      <c r="DD2">
        <v>0</v>
      </c>
      <c r="DE2">
        <v>4</v>
      </c>
      <c r="DF2">
        <v>1</v>
      </c>
      <c r="DG2">
        <v>45105</v>
      </c>
      <c r="DH2">
        <v>33288</v>
      </c>
      <c r="DI2">
        <v>32.35</v>
      </c>
      <c r="DJ2" t="s">
        <v>133</v>
      </c>
      <c r="DK2" t="s">
        <v>133</v>
      </c>
      <c r="DL2">
        <v>9</v>
      </c>
      <c r="DM2">
        <v>13</v>
      </c>
      <c r="DN2">
        <v>3</v>
      </c>
      <c r="DO2" t="s">
        <v>133</v>
      </c>
      <c r="DP2">
        <v>0</v>
      </c>
      <c r="DQ2">
        <v>3.5</v>
      </c>
      <c r="DR2">
        <v>12</v>
      </c>
      <c r="DS2">
        <v>999</v>
      </c>
      <c r="DT2">
        <v>8</v>
      </c>
      <c r="DU2">
        <v>12</v>
      </c>
      <c r="DV2">
        <v>999</v>
      </c>
      <c r="DW2">
        <v>11</v>
      </c>
      <c r="DY2">
        <v>5</v>
      </c>
      <c r="DZ2">
        <v>1</v>
      </c>
      <c r="EA2">
        <v>4</v>
      </c>
      <c r="EB2">
        <v>5</v>
      </c>
      <c r="EC2" t="s">
        <v>133</v>
      </c>
      <c r="ED2" t="s">
        <v>133</v>
      </c>
      <c r="EE2" t="s">
        <v>133</v>
      </c>
      <c r="EF2" t="s">
        <v>133</v>
      </c>
      <c r="EG2">
        <v>19054</v>
      </c>
      <c r="EH2">
        <v>4</v>
      </c>
      <c r="EI2">
        <v>1</v>
      </c>
      <c r="EJ2" t="s">
        <v>133</v>
      </c>
      <c r="EK2" t="s">
        <v>133</v>
      </c>
      <c r="EL2" t="s">
        <v>133</v>
      </c>
      <c r="EM2" t="s">
        <v>133</v>
      </c>
      <c r="EN2" t="s">
        <v>133</v>
      </c>
      <c r="EO2" t="s">
        <v>133</v>
      </c>
      <c r="EP2" t="s">
        <v>133</v>
      </c>
      <c r="EQ2" t="s">
        <v>133</v>
      </c>
      <c r="ER2" t="s">
        <v>133</v>
      </c>
      <c r="ES2" t="s">
        <v>133</v>
      </c>
    </row>
    <row r="3" spans="1:149" x14ac:dyDescent="0.2">
      <c r="A3">
        <v>10402</v>
      </c>
      <c r="B3">
        <v>35.94</v>
      </c>
      <c r="C3">
        <f t="shared" ref="C3:C59" si="0">B3-$B$60</f>
        <v>-7.1124137931034497</v>
      </c>
      <c r="D3">
        <v>2.8</v>
      </c>
      <c r="E3">
        <f t="shared" ref="E3:E59" si="1">D3-$D$60</f>
        <v>-0.27931034482758621</v>
      </c>
      <c r="F3">
        <v>2</v>
      </c>
      <c r="G3">
        <f t="shared" ref="G3:G59" si="2">F3-$F$60</f>
        <v>-5.431034482758621</v>
      </c>
      <c r="H3">
        <v>3.25</v>
      </c>
      <c r="I3">
        <f t="shared" ref="I3:I59" si="3">C3*E3</f>
        <v>1.986570749108205</v>
      </c>
      <c r="J3">
        <f t="shared" ref="J3:J59" si="4">C3*G3</f>
        <v>38.627764565992877</v>
      </c>
      <c r="K3">
        <f t="shared" ref="K3:K59" si="5">E3*G3</f>
        <v>1.5169441141498217</v>
      </c>
      <c r="L3">
        <f t="shared" ref="L3:L59" si="6">C3*E3*G3</f>
        <v>-10.789134240846286</v>
      </c>
      <c r="M3">
        <v>20286</v>
      </c>
      <c r="N3">
        <v>3.714286</v>
      </c>
      <c r="O3">
        <v>3.1666669999999999</v>
      </c>
      <c r="P3">
        <v>4.1538459999999997</v>
      </c>
      <c r="Q3">
        <v>4.8571429999999998</v>
      </c>
      <c r="R3">
        <v>4</v>
      </c>
      <c r="S3">
        <v>5.3846150000000002</v>
      </c>
      <c r="T3" t="s">
        <v>135</v>
      </c>
      <c r="U3" t="s">
        <v>134</v>
      </c>
      <c r="V3">
        <v>3.56</v>
      </c>
      <c r="W3">
        <v>2.67</v>
      </c>
      <c r="X3">
        <v>4</v>
      </c>
      <c r="Y3">
        <v>6</v>
      </c>
      <c r="Z3">
        <v>0</v>
      </c>
      <c r="AA3" t="s">
        <v>133</v>
      </c>
      <c r="AB3" t="s">
        <v>133</v>
      </c>
      <c r="AC3" t="s">
        <v>133</v>
      </c>
      <c r="AD3" t="s">
        <v>133</v>
      </c>
      <c r="AE3" t="s">
        <v>133</v>
      </c>
      <c r="AF3">
        <v>10</v>
      </c>
      <c r="AG3">
        <v>0</v>
      </c>
      <c r="AH3">
        <v>8</v>
      </c>
      <c r="AI3">
        <v>0</v>
      </c>
      <c r="AJ3">
        <v>2</v>
      </c>
      <c r="AK3">
        <v>5</v>
      </c>
      <c r="AL3">
        <v>6</v>
      </c>
      <c r="AM3">
        <v>8</v>
      </c>
      <c r="AN3">
        <v>4</v>
      </c>
      <c r="AO3">
        <v>3</v>
      </c>
      <c r="AP3">
        <v>26</v>
      </c>
      <c r="AQ3">
        <v>22</v>
      </c>
      <c r="AR3">
        <v>14</v>
      </c>
      <c r="AS3">
        <v>1</v>
      </c>
      <c r="AT3">
        <v>0</v>
      </c>
      <c r="AU3">
        <v>0</v>
      </c>
      <c r="AV3">
        <v>0</v>
      </c>
      <c r="AW3">
        <v>0</v>
      </c>
      <c r="AX3">
        <v>0</v>
      </c>
      <c r="AZ3">
        <v>22</v>
      </c>
      <c r="BA3">
        <v>4.42</v>
      </c>
      <c r="BC3">
        <v>0</v>
      </c>
      <c r="BD3">
        <v>3.71</v>
      </c>
      <c r="BE3">
        <v>104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20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8991</v>
      </c>
      <c r="BY3">
        <v>0</v>
      </c>
      <c r="BZ3">
        <v>0</v>
      </c>
      <c r="CA3">
        <v>0</v>
      </c>
      <c r="CB3">
        <v>0</v>
      </c>
      <c r="CC3">
        <v>3.1</v>
      </c>
      <c r="CD3">
        <v>4</v>
      </c>
      <c r="CE3">
        <v>3.5</v>
      </c>
      <c r="CF3">
        <v>3.53</v>
      </c>
      <c r="CG3">
        <v>6</v>
      </c>
      <c r="CH3">
        <v>5.1666666666666599</v>
      </c>
      <c r="CI3">
        <v>6</v>
      </c>
      <c r="CJ3">
        <v>6</v>
      </c>
      <c r="CK3">
        <v>2.0499999999999998</v>
      </c>
      <c r="CL3">
        <v>2</v>
      </c>
      <c r="CM3">
        <v>0</v>
      </c>
      <c r="CN3">
        <v>28</v>
      </c>
      <c r="CO3">
        <v>18</v>
      </c>
      <c r="CP3">
        <v>10</v>
      </c>
      <c r="CQ3">
        <v>1</v>
      </c>
      <c r="CR3">
        <v>38</v>
      </c>
      <c r="CS3">
        <v>31</v>
      </c>
      <c r="CT3">
        <v>41</v>
      </c>
      <c r="CU3" s="1">
        <v>19</v>
      </c>
      <c r="CV3" s="1">
        <v>35</v>
      </c>
      <c r="CW3">
        <v>44</v>
      </c>
      <c r="CX3">
        <v>60</v>
      </c>
      <c r="CY3">
        <v>36</v>
      </c>
      <c r="CZ3">
        <v>60</v>
      </c>
      <c r="DA3">
        <v>41</v>
      </c>
      <c r="DB3">
        <v>60</v>
      </c>
      <c r="DC3">
        <v>0</v>
      </c>
      <c r="DD3">
        <v>0</v>
      </c>
      <c r="DE3">
        <v>4</v>
      </c>
      <c r="DF3">
        <v>5</v>
      </c>
      <c r="DG3">
        <v>45105</v>
      </c>
      <c r="DH3">
        <v>31748</v>
      </c>
      <c r="DI3">
        <v>36.57</v>
      </c>
      <c r="DJ3" t="s">
        <v>133</v>
      </c>
      <c r="DK3" t="s">
        <v>133</v>
      </c>
      <c r="DL3">
        <v>3</v>
      </c>
      <c r="DM3">
        <v>2</v>
      </c>
      <c r="DN3">
        <v>2</v>
      </c>
      <c r="DO3" t="s">
        <v>133</v>
      </c>
      <c r="DP3">
        <v>28</v>
      </c>
      <c r="DQ3">
        <v>2</v>
      </c>
      <c r="DR3">
        <v>3</v>
      </c>
      <c r="DS3">
        <v>999</v>
      </c>
      <c r="DT3">
        <v>8</v>
      </c>
      <c r="DU3">
        <v>0</v>
      </c>
      <c r="DV3">
        <v>999</v>
      </c>
      <c r="DW3">
        <v>7</v>
      </c>
      <c r="DY3">
        <v>4</v>
      </c>
      <c r="DZ3">
        <v>1</v>
      </c>
      <c r="EA3">
        <v>3</v>
      </c>
      <c r="EB3">
        <v>4</v>
      </c>
      <c r="EC3" t="s">
        <v>133</v>
      </c>
      <c r="ED3" t="s">
        <v>133</v>
      </c>
      <c r="EE3" t="s">
        <v>133</v>
      </c>
      <c r="EF3" t="s">
        <v>133</v>
      </c>
      <c r="EG3">
        <v>8081</v>
      </c>
      <c r="EH3">
        <v>3</v>
      </c>
      <c r="EI3">
        <v>1</v>
      </c>
      <c r="EJ3" t="s">
        <v>133</v>
      </c>
      <c r="EK3" t="s">
        <v>133</v>
      </c>
      <c r="EL3" t="s">
        <v>133</v>
      </c>
      <c r="EM3" t="s">
        <v>133</v>
      </c>
      <c r="EN3" t="s">
        <v>133</v>
      </c>
      <c r="EO3" t="s">
        <v>133</v>
      </c>
      <c r="EP3" t="s">
        <v>133</v>
      </c>
      <c r="EQ3" t="s">
        <v>133</v>
      </c>
      <c r="ER3" t="s">
        <v>133</v>
      </c>
      <c r="ES3" t="s">
        <v>133</v>
      </c>
    </row>
    <row r="4" spans="1:149" x14ac:dyDescent="0.2">
      <c r="A4">
        <v>10418</v>
      </c>
      <c r="B4">
        <v>68.64</v>
      </c>
      <c r="C4">
        <f t="shared" si="0"/>
        <v>25.587586206896553</v>
      </c>
      <c r="D4">
        <v>2.6</v>
      </c>
      <c r="E4">
        <f t="shared" si="1"/>
        <v>-0.47931034482758594</v>
      </c>
      <c r="F4">
        <v>0</v>
      </c>
      <c r="G4">
        <f t="shared" si="2"/>
        <v>-7.431034482758621</v>
      </c>
      <c r="H4">
        <v>4.75</v>
      </c>
      <c r="I4">
        <f t="shared" si="3"/>
        <v>-12.264394768133169</v>
      </c>
      <c r="J4">
        <f t="shared" si="4"/>
        <v>-190.14223543400715</v>
      </c>
      <c r="K4">
        <f t="shared" si="5"/>
        <v>3.5617717003567164</v>
      </c>
      <c r="L4">
        <f t="shared" si="6"/>
        <v>91.137140432161999</v>
      </c>
      <c r="M4">
        <v>102054</v>
      </c>
      <c r="N4">
        <v>4.6666670000000003</v>
      </c>
      <c r="O4">
        <v>3.538462</v>
      </c>
      <c r="P4">
        <v>4.3333329999999997</v>
      </c>
      <c r="Q4">
        <v>3.3846150000000002</v>
      </c>
      <c r="R4">
        <v>5.6923079999999997</v>
      </c>
      <c r="S4">
        <v>6.1428570000000002</v>
      </c>
      <c r="T4" t="s">
        <v>131</v>
      </c>
      <c r="U4" t="s">
        <v>132</v>
      </c>
      <c r="V4">
        <v>4.22</v>
      </c>
      <c r="W4">
        <v>3.44</v>
      </c>
      <c r="X4">
        <v>0</v>
      </c>
      <c r="Y4">
        <v>2</v>
      </c>
      <c r="Z4">
        <v>4</v>
      </c>
      <c r="AA4">
        <v>5.67</v>
      </c>
      <c r="AB4">
        <v>5.33</v>
      </c>
      <c r="AC4">
        <v>5.25</v>
      </c>
      <c r="AD4">
        <v>4.83</v>
      </c>
      <c r="AE4">
        <v>5.0999999999999996</v>
      </c>
      <c r="AF4">
        <v>16</v>
      </c>
      <c r="AG4">
        <v>4</v>
      </c>
      <c r="AH4">
        <v>2</v>
      </c>
      <c r="AI4">
        <v>0</v>
      </c>
      <c r="AJ4">
        <v>10</v>
      </c>
      <c r="AK4">
        <v>9</v>
      </c>
      <c r="AL4">
        <v>2</v>
      </c>
      <c r="AM4">
        <v>4</v>
      </c>
      <c r="AN4">
        <v>3</v>
      </c>
      <c r="AO4">
        <v>3</v>
      </c>
      <c r="AP4">
        <v>21</v>
      </c>
      <c r="AQ4">
        <v>26</v>
      </c>
      <c r="AR4">
        <v>11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Z4">
        <v>7</v>
      </c>
      <c r="BA4">
        <v>4</v>
      </c>
      <c r="BC4">
        <v>0</v>
      </c>
      <c r="BD4">
        <v>4.2</v>
      </c>
      <c r="BE4">
        <v>127</v>
      </c>
      <c r="BF4">
        <v>35</v>
      </c>
      <c r="BG4">
        <v>0</v>
      </c>
      <c r="BH4">
        <v>0</v>
      </c>
      <c r="BI4">
        <v>0</v>
      </c>
      <c r="BJ4">
        <v>0.25</v>
      </c>
      <c r="BK4">
        <v>0</v>
      </c>
      <c r="BL4">
        <v>0</v>
      </c>
      <c r="BM4">
        <v>0</v>
      </c>
      <c r="BN4">
        <v>3.5714285714285698E-2</v>
      </c>
      <c r="BO4">
        <v>90</v>
      </c>
      <c r="BP4">
        <v>70</v>
      </c>
      <c r="BQ4">
        <v>0</v>
      </c>
      <c r="BR4">
        <v>0</v>
      </c>
      <c r="BS4">
        <v>0</v>
      </c>
      <c r="BT4">
        <v>0</v>
      </c>
      <c r="BU4">
        <v>0</v>
      </c>
      <c r="BV4">
        <v>52</v>
      </c>
      <c r="BW4">
        <v>13</v>
      </c>
      <c r="BX4">
        <v>8991</v>
      </c>
      <c r="BY4">
        <v>0</v>
      </c>
      <c r="BZ4">
        <v>0</v>
      </c>
      <c r="CA4">
        <v>0</v>
      </c>
      <c r="CB4">
        <v>0</v>
      </c>
      <c r="CC4">
        <v>3.3</v>
      </c>
      <c r="CD4">
        <v>3</v>
      </c>
      <c r="CE4">
        <v>3.1</v>
      </c>
      <c r="CF4">
        <v>3.13</v>
      </c>
      <c r="CG4">
        <v>6</v>
      </c>
      <c r="CH4">
        <v>5.1666666666666599</v>
      </c>
      <c r="CI4">
        <v>6</v>
      </c>
      <c r="CJ4">
        <v>5.1666666666666599</v>
      </c>
      <c r="CK4">
        <v>1.6</v>
      </c>
      <c r="CL4">
        <v>0</v>
      </c>
      <c r="CM4">
        <v>0</v>
      </c>
      <c r="CN4">
        <v>22</v>
      </c>
      <c r="CO4">
        <v>20</v>
      </c>
      <c r="CP4">
        <v>7</v>
      </c>
      <c r="CQ4">
        <v>0.875</v>
      </c>
      <c r="CR4">
        <v>28</v>
      </c>
      <c r="CS4">
        <v>24</v>
      </c>
      <c r="CT4">
        <v>33</v>
      </c>
      <c r="CU4" s="1">
        <v>25</v>
      </c>
      <c r="CV4" s="1">
        <v>27</v>
      </c>
      <c r="CW4">
        <v>35</v>
      </c>
      <c r="CX4">
        <v>60</v>
      </c>
      <c r="CY4">
        <v>29</v>
      </c>
      <c r="CZ4">
        <v>60</v>
      </c>
      <c r="DA4">
        <v>27</v>
      </c>
      <c r="DB4">
        <v>60</v>
      </c>
      <c r="DC4">
        <v>0</v>
      </c>
      <c r="DD4">
        <v>0</v>
      </c>
      <c r="DE4">
        <v>3</v>
      </c>
      <c r="DF4">
        <v>3</v>
      </c>
      <c r="DG4">
        <v>45000</v>
      </c>
      <c r="DH4">
        <v>19888</v>
      </c>
      <c r="DI4">
        <v>68.75</v>
      </c>
      <c r="DJ4">
        <v>4</v>
      </c>
      <c r="DK4">
        <v>1</v>
      </c>
      <c r="DL4">
        <v>3</v>
      </c>
      <c r="DM4">
        <v>0</v>
      </c>
      <c r="DN4">
        <v>1</v>
      </c>
      <c r="DO4" t="s">
        <v>133</v>
      </c>
      <c r="DP4">
        <v>27</v>
      </c>
      <c r="DQ4">
        <v>2.5555555555556002</v>
      </c>
      <c r="DR4">
        <v>12</v>
      </c>
      <c r="DS4">
        <v>999</v>
      </c>
      <c r="DT4">
        <v>7</v>
      </c>
      <c r="DU4">
        <v>1</v>
      </c>
      <c r="DV4">
        <v>999</v>
      </c>
      <c r="DW4">
        <v>10</v>
      </c>
      <c r="DY4">
        <v>6</v>
      </c>
      <c r="DZ4">
        <v>1</v>
      </c>
      <c r="EA4">
        <v>7</v>
      </c>
      <c r="EB4">
        <v>6</v>
      </c>
      <c r="EC4" t="s">
        <v>133</v>
      </c>
      <c r="ED4" t="s">
        <v>133</v>
      </c>
      <c r="EE4" t="s">
        <v>133</v>
      </c>
      <c r="EF4">
        <v>1</v>
      </c>
      <c r="EG4">
        <v>44112</v>
      </c>
      <c r="EH4">
        <v>7</v>
      </c>
      <c r="EI4">
        <v>0</v>
      </c>
      <c r="EJ4" t="s">
        <v>133</v>
      </c>
      <c r="EK4" t="s">
        <v>133</v>
      </c>
      <c r="EL4" t="s">
        <v>133</v>
      </c>
      <c r="EM4" t="s">
        <v>133</v>
      </c>
      <c r="EN4" t="s">
        <v>133</v>
      </c>
      <c r="EO4" t="s">
        <v>133</v>
      </c>
      <c r="EP4" t="s">
        <v>133</v>
      </c>
      <c r="EQ4" t="s">
        <v>133</v>
      </c>
      <c r="ER4">
        <v>1</v>
      </c>
      <c r="ES4" t="s">
        <v>133</v>
      </c>
    </row>
    <row r="5" spans="1:149" x14ac:dyDescent="0.2">
      <c r="A5">
        <v>10462</v>
      </c>
      <c r="B5">
        <v>62.04</v>
      </c>
      <c r="C5">
        <f t="shared" si="0"/>
        <v>18.987586206896552</v>
      </c>
      <c r="D5">
        <v>3.2</v>
      </c>
      <c r="E5">
        <f t="shared" si="1"/>
        <v>0.12068965517241415</v>
      </c>
      <c r="F5">
        <v>0</v>
      </c>
      <c r="G5">
        <f t="shared" si="2"/>
        <v>-7.431034482758621</v>
      </c>
      <c r="H5">
        <v>4.25</v>
      </c>
      <c r="I5">
        <f t="shared" si="3"/>
        <v>2.2916052318668321</v>
      </c>
      <c r="J5">
        <f t="shared" si="4"/>
        <v>-141.09740784780024</v>
      </c>
      <c r="K5">
        <f t="shared" si="5"/>
        <v>-0.89684898929845691</v>
      </c>
      <c r="L5">
        <f t="shared" si="6"/>
        <v>-17.028997498872496</v>
      </c>
      <c r="M5">
        <v>21960</v>
      </c>
      <c r="N5">
        <v>2</v>
      </c>
      <c r="O5">
        <v>3</v>
      </c>
      <c r="P5">
        <v>2.8571430000000002</v>
      </c>
      <c r="Q5">
        <v>3.5</v>
      </c>
      <c r="R5">
        <v>3.6666669999999999</v>
      </c>
      <c r="S5">
        <v>5.2</v>
      </c>
      <c r="T5" t="s">
        <v>135</v>
      </c>
      <c r="U5" t="s">
        <v>134</v>
      </c>
      <c r="V5">
        <v>4.67</v>
      </c>
      <c r="W5">
        <v>3.44</v>
      </c>
      <c r="X5">
        <v>4</v>
      </c>
      <c r="Y5">
        <v>3</v>
      </c>
      <c r="Z5">
        <v>0</v>
      </c>
      <c r="AA5" t="s">
        <v>133</v>
      </c>
      <c r="AB5" t="s">
        <v>133</v>
      </c>
      <c r="AC5" t="s">
        <v>133</v>
      </c>
      <c r="AD5" t="s">
        <v>133</v>
      </c>
      <c r="AE5" t="s">
        <v>133</v>
      </c>
      <c r="AF5">
        <v>5</v>
      </c>
      <c r="AG5">
        <v>0</v>
      </c>
      <c r="AH5">
        <v>5</v>
      </c>
      <c r="AI5">
        <v>0</v>
      </c>
      <c r="AJ5">
        <v>0</v>
      </c>
      <c r="AK5">
        <v>3</v>
      </c>
      <c r="AL5">
        <v>4</v>
      </c>
      <c r="AM5">
        <v>6</v>
      </c>
      <c r="AN5">
        <v>2</v>
      </c>
      <c r="AO5">
        <v>1</v>
      </c>
      <c r="AP5">
        <v>16</v>
      </c>
      <c r="AQ5">
        <v>27</v>
      </c>
      <c r="AR5">
        <v>10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Z5">
        <v>8</v>
      </c>
      <c r="BA5">
        <v>2.67</v>
      </c>
      <c r="BC5">
        <v>0</v>
      </c>
      <c r="BD5">
        <v>3.14</v>
      </c>
      <c r="BE5">
        <v>110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20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8991</v>
      </c>
      <c r="BY5">
        <v>0</v>
      </c>
      <c r="BZ5">
        <v>0</v>
      </c>
      <c r="CA5">
        <v>0</v>
      </c>
      <c r="CB5">
        <v>0</v>
      </c>
      <c r="CC5">
        <v>3.6</v>
      </c>
      <c r="CD5">
        <v>4.3</v>
      </c>
      <c r="CE5">
        <v>4</v>
      </c>
      <c r="CF5">
        <v>3.97</v>
      </c>
      <c r="CG5">
        <v>6</v>
      </c>
      <c r="CH5">
        <v>5.1666666666666599</v>
      </c>
      <c r="CI5">
        <v>6</v>
      </c>
      <c r="CJ5">
        <v>6</v>
      </c>
      <c r="CK5">
        <v>0.5</v>
      </c>
      <c r="CL5">
        <v>4</v>
      </c>
      <c r="CM5">
        <v>1</v>
      </c>
      <c r="CN5">
        <v>20</v>
      </c>
      <c r="CO5">
        <v>23</v>
      </c>
      <c r="CP5">
        <v>4</v>
      </c>
      <c r="CQ5">
        <v>0.5</v>
      </c>
      <c r="CR5">
        <v>20</v>
      </c>
      <c r="CS5">
        <v>0</v>
      </c>
      <c r="CT5">
        <v>0</v>
      </c>
      <c r="CU5" s="1">
        <v>31</v>
      </c>
      <c r="CV5" s="1">
        <v>27</v>
      </c>
      <c r="CW5">
        <v>37</v>
      </c>
      <c r="CX5">
        <v>60</v>
      </c>
      <c r="CY5">
        <v>30</v>
      </c>
      <c r="CZ5">
        <v>60</v>
      </c>
      <c r="DA5">
        <v>19</v>
      </c>
      <c r="DB5">
        <v>60</v>
      </c>
      <c r="DC5">
        <v>0</v>
      </c>
      <c r="DD5">
        <v>0</v>
      </c>
      <c r="DE5">
        <v>3</v>
      </c>
      <c r="DF5">
        <v>1</v>
      </c>
      <c r="DG5">
        <v>45105</v>
      </c>
      <c r="DH5">
        <v>22225</v>
      </c>
      <c r="DI5">
        <v>62.64</v>
      </c>
      <c r="DJ5" t="s">
        <v>133</v>
      </c>
      <c r="DK5" t="s">
        <v>133</v>
      </c>
      <c r="DL5">
        <v>0</v>
      </c>
      <c r="DM5">
        <v>0</v>
      </c>
      <c r="DN5">
        <v>8</v>
      </c>
      <c r="DO5">
        <v>4</v>
      </c>
      <c r="DP5">
        <v>0</v>
      </c>
      <c r="DQ5">
        <v>2.2222222222222001</v>
      </c>
      <c r="DR5">
        <v>12</v>
      </c>
      <c r="DS5">
        <v>999</v>
      </c>
      <c r="DT5">
        <v>7</v>
      </c>
      <c r="DU5">
        <v>2</v>
      </c>
      <c r="DV5">
        <v>999</v>
      </c>
      <c r="DW5">
        <v>11</v>
      </c>
      <c r="DY5">
        <v>6</v>
      </c>
      <c r="DZ5">
        <v>1</v>
      </c>
      <c r="EA5">
        <v>7</v>
      </c>
      <c r="EB5">
        <v>6</v>
      </c>
      <c r="EC5" t="s">
        <v>133</v>
      </c>
      <c r="ED5" t="s">
        <v>133</v>
      </c>
      <c r="EE5" t="s">
        <v>133</v>
      </c>
      <c r="EF5" t="s">
        <v>133</v>
      </c>
      <c r="EG5">
        <v>90044</v>
      </c>
      <c r="EH5">
        <v>7</v>
      </c>
      <c r="EI5">
        <v>1</v>
      </c>
      <c r="EJ5" t="s">
        <v>133</v>
      </c>
      <c r="EK5" t="s">
        <v>133</v>
      </c>
      <c r="EL5" t="s">
        <v>133</v>
      </c>
      <c r="EM5" t="s">
        <v>133</v>
      </c>
      <c r="EN5" t="s">
        <v>133</v>
      </c>
      <c r="EO5" t="s">
        <v>133</v>
      </c>
      <c r="EP5" t="s">
        <v>133</v>
      </c>
      <c r="EQ5" t="s">
        <v>133</v>
      </c>
      <c r="ER5">
        <v>0</v>
      </c>
      <c r="ES5" t="s">
        <v>133</v>
      </c>
    </row>
    <row r="6" spans="1:149" x14ac:dyDescent="0.2">
      <c r="A6">
        <v>10478</v>
      </c>
      <c r="B6">
        <v>27.9</v>
      </c>
      <c r="C6">
        <f t="shared" si="0"/>
        <v>-15.152413793103449</v>
      </c>
      <c r="D6">
        <v>3.6</v>
      </c>
      <c r="E6">
        <f t="shared" si="1"/>
        <v>0.52068965517241406</v>
      </c>
      <c r="F6">
        <v>11</v>
      </c>
      <c r="G6">
        <f t="shared" si="2"/>
        <v>3.568965517241379</v>
      </c>
      <c r="H6">
        <v>4.5</v>
      </c>
      <c r="I6">
        <f t="shared" si="3"/>
        <v>-7.8897051129607654</v>
      </c>
      <c r="J6">
        <f t="shared" si="4"/>
        <v>-54.078442330558858</v>
      </c>
      <c r="K6">
        <f t="shared" si="5"/>
        <v>1.85832342449465</v>
      </c>
      <c r="L6">
        <f t="shared" si="6"/>
        <v>-28.158085489359969</v>
      </c>
      <c r="M6">
        <v>201495</v>
      </c>
      <c r="N6">
        <v>4.4000000000000004</v>
      </c>
      <c r="O6">
        <v>4.8333329999999997</v>
      </c>
      <c r="P6">
        <v>5</v>
      </c>
      <c r="Q6">
        <v>4.3076920000000003</v>
      </c>
      <c r="R6">
        <v>5.5714290000000002</v>
      </c>
      <c r="S6">
        <v>6.3076920000000003</v>
      </c>
      <c r="T6" t="s">
        <v>136</v>
      </c>
      <c r="U6" t="s">
        <v>132</v>
      </c>
      <c r="V6">
        <v>3.56</v>
      </c>
      <c r="W6">
        <v>4.22</v>
      </c>
      <c r="X6">
        <v>6</v>
      </c>
      <c r="Y6">
        <v>3</v>
      </c>
      <c r="Z6">
        <v>0</v>
      </c>
      <c r="AA6" t="s">
        <v>133</v>
      </c>
      <c r="AB6" t="s">
        <v>133</v>
      </c>
      <c r="AC6" t="s">
        <v>133</v>
      </c>
      <c r="AD6" t="s">
        <v>133</v>
      </c>
      <c r="AE6" t="s">
        <v>133</v>
      </c>
      <c r="AF6">
        <v>37</v>
      </c>
      <c r="AG6">
        <v>9</v>
      </c>
      <c r="AH6">
        <v>11</v>
      </c>
      <c r="AI6">
        <v>5</v>
      </c>
      <c r="AJ6">
        <v>12</v>
      </c>
      <c r="AK6">
        <v>8</v>
      </c>
      <c r="AL6">
        <v>7</v>
      </c>
      <c r="AM6">
        <v>7</v>
      </c>
      <c r="AN6">
        <v>10</v>
      </c>
      <c r="AO6">
        <v>3</v>
      </c>
      <c r="AP6">
        <v>35</v>
      </c>
      <c r="AQ6">
        <v>18</v>
      </c>
      <c r="AR6">
        <v>11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Z6">
        <v>10</v>
      </c>
      <c r="BA6">
        <v>3.33</v>
      </c>
      <c r="BC6">
        <v>0</v>
      </c>
      <c r="BD6">
        <v>4.34</v>
      </c>
      <c r="BE6">
        <v>109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20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8991</v>
      </c>
      <c r="BY6">
        <v>0</v>
      </c>
      <c r="BZ6">
        <v>0</v>
      </c>
      <c r="CA6">
        <v>0</v>
      </c>
      <c r="CB6">
        <v>0</v>
      </c>
      <c r="CC6">
        <v>3.2</v>
      </c>
      <c r="CD6">
        <v>3.5</v>
      </c>
      <c r="CE6">
        <v>3.3</v>
      </c>
      <c r="CF6">
        <v>3.33</v>
      </c>
      <c r="CG6">
        <v>6</v>
      </c>
      <c r="CH6">
        <v>5.1666666666666599</v>
      </c>
      <c r="CI6">
        <v>6</v>
      </c>
      <c r="CJ6">
        <v>5.1666666666666599</v>
      </c>
      <c r="CK6">
        <v>2.85</v>
      </c>
      <c r="CL6">
        <v>2</v>
      </c>
      <c r="CM6">
        <v>0</v>
      </c>
      <c r="CN6">
        <v>31</v>
      </c>
      <c r="CO6">
        <v>35</v>
      </c>
      <c r="CP6">
        <v>12</v>
      </c>
      <c r="CQ6">
        <v>1.0909090909090899</v>
      </c>
      <c r="CR6">
        <v>42</v>
      </c>
      <c r="CS6">
        <v>36</v>
      </c>
      <c r="CT6">
        <v>62</v>
      </c>
      <c r="CU6" s="1">
        <v>23</v>
      </c>
      <c r="CV6" s="1">
        <v>30</v>
      </c>
      <c r="CW6">
        <v>48</v>
      </c>
      <c r="CX6">
        <v>57</v>
      </c>
      <c r="CY6">
        <v>48</v>
      </c>
      <c r="CZ6">
        <v>53</v>
      </c>
      <c r="DA6">
        <v>48</v>
      </c>
      <c r="DB6">
        <v>54</v>
      </c>
      <c r="DC6">
        <v>0</v>
      </c>
      <c r="DD6">
        <v>0</v>
      </c>
      <c r="DE6">
        <v>7</v>
      </c>
      <c r="DF6">
        <v>4</v>
      </c>
      <c r="DG6">
        <v>45105</v>
      </c>
      <c r="DH6">
        <v>34703</v>
      </c>
      <c r="DI6">
        <v>28.48</v>
      </c>
      <c r="DJ6" t="s">
        <v>133</v>
      </c>
      <c r="DK6" t="s">
        <v>133</v>
      </c>
      <c r="DL6">
        <v>1</v>
      </c>
      <c r="DM6">
        <v>0</v>
      </c>
      <c r="DN6">
        <v>3</v>
      </c>
      <c r="DO6" t="s">
        <v>133</v>
      </c>
      <c r="DP6">
        <v>33</v>
      </c>
      <c r="DQ6">
        <v>3</v>
      </c>
      <c r="DR6">
        <v>12</v>
      </c>
      <c r="DS6">
        <v>999</v>
      </c>
      <c r="DT6">
        <v>7</v>
      </c>
      <c r="DU6">
        <v>7</v>
      </c>
      <c r="DV6">
        <v>999</v>
      </c>
      <c r="DW6">
        <v>11</v>
      </c>
      <c r="DY6">
        <v>6</v>
      </c>
      <c r="DZ6">
        <v>2</v>
      </c>
      <c r="EA6">
        <v>9</v>
      </c>
      <c r="EB6">
        <v>6</v>
      </c>
      <c r="EC6" t="s">
        <v>133</v>
      </c>
      <c r="ED6" t="s">
        <v>133</v>
      </c>
      <c r="EE6" t="s">
        <v>133</v>
      </c>
      <c r="EF6" t="s">
        <v>133</v>
      </c>
      <c r="EG6">
        <v>19120</v>
      </c>
      <c r="EH6">
        <v>9</v>
      </c>
      <c r="EI6">
        <v>1</v>
      </c>
      <c r="EJ6" t="s">
        <v>133</v>
      </c>
      <c r="EK6" t="s">
        <v>133</v>
      </c>
      <c r="EL6" t="s">
        <v>133</v>
      </c>
      <c r="EM6" t="s">
        <v>133</v>
      </c>
      <c r="EN6" t="s">
        <v>133</v>
      </c>
      <c r="EO6" t="s">
        <v>133</v>
      </c>
      <c r="EP6" t="s">
        <v>133</v>
      </c>
      <c r="EQ6" t="s">
        <v>133</v>
      </c>
      <c r="ER6" t="s">
        <v>133</v>
      </c>
      <c r="ES6" t="s">
        <v>133</v>
      </c>
    </row>
    <row r="7" spans="1:149" s="2" customFormat="1" x14ac:dyDescent="0.2">
      <c r="A7" s="2">
        <v>10486</v>
      </c>
      <c r="B7" s="2">
        <v>41.91</v>
      </c>
      <c r="C7">
        <f t="shared" si="0"/>
        <v>-1.1424137931034508</v>
      </c>
      <c r="D7" s="2">
        <v>3</v>
      </c>
      <c r="E7">
        <f t="shared" si="1"/>
        <v>-7.9310344827586032E-2</v>
      </c>
      <c r="F7" s="2">
        <v>19</v>
      </c>
      <c r="G7">
        <f t="shared" si="2"/>
        <v>11.568965517241379</v>
      </c>
      <c r="H7" s="2" t="s">
        <v>133</v>
      </c>
      <c r="I7">
        <f t="shared" si="3"/>
        <v>9.0605231866825203E-2</v>
      </c>
      <c r="J7">
        <f t="shared" si="4"/>
        <v>-13.21654577883475</v>
      </c>
      <c r="K7">
        <f t="shared" si="5"/>
        <v>-0.91753864447086597</v>
      </c>
      <c r="L7">
        <f t="shared" si="6"/>
        <v>1.0482088031489605</v>
      </c>
      <c r="M7" s="2">
        <v>131381</v>
      </c>
      <c r="N7" s="2">
        <v>5.6666670000000003</v>
      </c>
      <c r="O7" s="2">
        <v>6</v>
      </c>
      <c r="P7" s="2">
        <v>5</v>
      </c>
      <c r="Q7" s="2">
        <v>6.5714290000000002</v>
      </c>
      <c r="R7" s="2">
        <v>6.8571429999999998</v>
      </c>
      <c r="S7" s="2">
        <v>4.6666670000000003</v>
      </c>
      <c r="T7" s="2" t="s">
        <v>131</v>
      </c>
      <c r="U7" s="2" t="s">
        <v>132</v>
      </c>
      <c r="V7" s="2">
        <v>4.33</v>
      </c>
      <c r="W7" s="2">
        <v>3.9</v>
      </c>
      <c r="X7" s="2">
        <v>4</v>
      </c>
      <c r="Y7" s="2">
        <v>4</v>
      </c>
      <c r="Z7" s="2">
        <v>0</v>
      </c>
      <c r="AA7" s="2">
        <v>4.33</v>
      </c>
      <c r="AB7" s="2">
        <v>3.83</v>
      </c>
      <c r="AC7" s="2">
        <v>4.63</v>
      </c>
      <c r="AD7" s="2">
        <v>4.17</v>
      </c>
      <c r="AE7" s="2">
        <v>4.4000000000000004</v>
      </c>
      <c r="AF7" s="2">
        <v>37</v>
      </c>
      <c r="AG7" s="2">
        <v>9</v>
      </c>
      <c r="AH7" s="2">
        <v>15</v>
      </c>
      <c r="AI7" s="2">
        <v>6</v>
      </c>
      <c r="AJ7" s="2">
        <v>7</v>
      </c>
      <c r="AK7" s="2">
        <v>3</v>
      </c>
      <c r="AL7" s="2">
        <v>7</v>
      </c>
      <c r="AM7" s="2">
        <v>5</v>
      </c>
      <c r="AN7" s="2">
        <v>6</v>
      </c>
      <c r="AO7" s="2">
        <v>2</v>
      </c>
      <c r="AP7" s="2">
        <v>23</v>
      </c>
      <c r="AQ7" s="2">
        <v>35</v>
      </c>
      <c r="AR7" s="2">
        <v>14</v>
      </c>
      <c r="AS7" s="2">
        <v>0</v>
      </c>
      <c r="AT7" s="2">
        <v>0</v>
      </c>
      <c r="AU7" s="2">
        <v>4.75</v>
      </c>
      <c r="AV7" s="2">
        <v>5.25</v>
      </c>
      <c r="AW7" s="2">
        <v>5</v>
      </c>
      <c r="AX7" s="2">
        <v>4</v>
      </c>
      <c r="AZ7" s="2">
        <v>15</v>
      </c>
      <c r="BA7" s="2">
        <v>3.08</v>
      </c>
      <c r="BC7" s="2">
        <v>0</v>
      </c>
      <c r="BD7" s="2">
        <v>3.51</v>
      </c>
      <c r="BE7" s="2">
        <v>29</v>
      </c>
      <c r="BF7" s="2">
        <v>0</v>
      </c>
      <c r="BG7" s="2">
        <v>0</v>
      </c>
      <c r="BH7" s="2">
        <v>0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20</v>
      </c>
      <c r="BP7" s="2">
        <v>0</v>
      </c>
      <c r="BQ7" s="2">
        <v>0</v>
      </c>
      <c r="BR7" s="2">
        <v>0</v>
      </c>
      <c r="BS7" s="2">
        <v>0</v>
      </c>
      <c r="BT7" s="2">
        <v>0</v>
      </c>
      <c r="BU7" s="2">
        <v>0</v>
      </c>
      <c r="BV7" s="2">
        <v>0</v>
      </c>
      <c r="BW7" s="2">
        <v>0</v>
      </c>
      <c r="BX7" s="2">
        <v>8991</v>
      </c>
      <c r="BY7" s="2">
        <v>0</v>
      </c>
      <c r="BZ7" s="2">
        <v>0</v>
      </c>
      <c r="CA7" s="2">
        <v>0</v>
      </c>
      <c r="CB7" s="2">
        <v>0</v>
      </c>
      <c r="CC7" s="2">
        <v>3.7</v>
      </c>
      <c r="CD7" s="2">
        <v>3.9</v>
      </c>
      <c r="CE7" s="2">
        <v>3.9</v>
      </c>
      <c r="CF7" s="2">
        <v>3.83</v>
      </c>
      <c r="CG7" s="2">
        <v>6</v>
      </c>
      <c r="CH7" s="2">
        <v>4.3333333333333304</v>
      </c>
      <c r="CI7" s="2">
        <v>2.6666666666666599</v>
      </c>
      <c r="CJ7" s="2">
        <v>1.8333333333333299</v>
      </c>
      <c r="CK7" s="2">
        <v>2.95</v>
      </c>
      <c r="CL7" s="2">
        <v>0</v>
      </c>
      <c r="CM7" s="2">
        <v>0</v>
      </c>
      <c r="CN7" s="2">
        <v>27</v>
      </c>
      <c r="CO7" s="2">
        <v>24</v>
      </c>
      <c r="CP7" s="2">
        <v>11</v>
      </c>
      <c r="CQ7" s="2">
        <v>1.1000000000000001</v>
      </c>
      <c r="CR7" s="2">
        <v>38</v>
      </c>
      <c r="CS7" s="2">
        <v>40</v>
      </c>
      <c r="CT7" s="2">
        <v>39</v>
      </c>
      <c r="CU7" s="3">
        <v>23</v>
      </c>
      <c r="CV7" s="3">
        <v>36</v>
      </c>
      <c r="CW7" s="2">
        <v>47</v>
      </c>
      <c r="CX7" s="2">
        <v>0</v>
      </c>
      <c r="CY7" s="2">
        <v>47</v>
      </c>
      <c r="CZ7" s="2">
        <v>60</v>
      </c>
      <c r="DA7" s="2">
        <v>34</v>
      </c>
      <c r="DB7" s="2">
        <v>60</v>
      </c>
      <c r="DC7" s="2">
        <v>0</v>
      </c>
      <c r="DD7" s="2">
        <v>0</v>
      </c>
      <c r="DE7" s="2">
        <v>4</v>
      </c>
      <c r="DF7" s="2">
        <v>4</v>
      </c>
      <c r="DG7" s="2">
        <v>45105</v>
      </c>
      <c r="DH7" s="2">
        <v>29682</v>
      </c>
      <c r="DI7" s="2">
        <v>42.23</v>
      </c>
      <c r="DJ7" s="2" t="s">
        <v>133</v>
      </c>
      <c r="DK7" s="2" t="s">
        <v>133</v>
      </c>
      <c r="DL7" s="2">
        <v>1</v>
      </c>
      <c r="DM7" s="2">
        <v>0</v>
      </c>
      <c r="DN7" s="2">
        <v>1</v>
      </c>
      <c r="DO7" s="2">
        <v>5</v>
      </c>
      <c r="DP7" s="2">
        <v>23</v>
      </c>
      <c r="DQ7" s="2">
        <v>2.1111111111111001</v>
      </c>
      <c r="DR7" s="2">
        <v>9</v>
      </c>
      <c r="DS7" s="2">
        <v>999</v>
      </c>
      <c r="DT7" s="2">
        <v>5</v>
      </c>
      <c r="DU7" s="2">
        <v>2</v>
      </c>
      <c r="DV7" s="2">
        <v>999</v>
      </c>
      <c r="DW7" s="2">
        <v>9</v>
      </c>
      <c r="DY7" s="2">
        <v>6</v>
      </c>
      <c r="DZ7" s="2">
        <v>2</v>
      </c>
      <c r="EA7" s="2">
        <v>6</v>
      </c>
      <c r="EB7" s="2">
        <v>6</v>
      </c>
      <c r="EC7" s="2" t="s">
        <v>133</v>
      </c>
      <c r="ED7" s="2" t="s">
        <v>133</v>
      </c>
      <c r="EE7" s="2" t="s">
        <v>133</v>
      </c>
      <c r="EF7" s="2" t="s">
        <v>133</v>
      </c>
      <c r="EG7" s="2">
        <v>19403</v>
      </c>
      <c r="EH7" s="2">
        <v>6</v>
      </c>
      <c r="EI7" s="2">
        <v>1</v>
      </c>
      <c r="EJ7" s="2" t="s">
        <v>133</v>
      </c>
      <c r="EK7" s="2" t="s">
        <v>133</v>
      </c>
      <c r="EL7" s="2" t="s">
        <v>133</v>
      </c>
      <c r="EM7" s="2" t="s">
        <v>133</v>
      </c>
      <c r="EN7" s="2" t="s">
        <v>133</v>
      </c>
      <c r="EO7" s="2" t="s">
        <v>133</v>
      </c>
      <c r="EP7" s="2" t="s">
        <v>133</v>
      </c>
      <c r="EQ7" s="2" t="s">
        <v>133</v>
      </c>
      <c r="ER7" s="2" t="s">
        <v>133</v>
      </c>
      <c r="ES7" s="2" t="s">
        <v>133</v>
      </c>
    </row>
    <row r="8" spans="1:149" x14ac:dyDescent="0.2">
      <c r="A8">
        <v>10529</v>
      </c>
      <c r="B8">
        <v>67.8</v>
      </c>
      <c r="C8">
        <f t="shared" si="0"/>
        <v>24.74758620689655</v>
      </c>
      <c r="D8">
        <v>2.6</v>
      </c>
      <c r="E8">
        <f t="shared" si="1"/>
        <v>-0.47931034482758594</v>
      </c>
      <c r="F8">
        <v>4</v>
      </c>
      <c r="G8">
        <f t="shared" si="2"/>
        <v>-3.431034482758621</v>
      </c>
      <c r="H8">
        <v>3.5</v>
      </c>
      <c r="I8">
        <f t="shared" si="3"/>
        <v>-11.861774078477994</v>
      </c>
      <c r="J8">
        <f t="shared" si="4"/>
        <v>-84.909821640903687</v>
      </c>
      <c r="K8">
        <f t="shared" si="5"/>
        <v>1.6445303210463726</v>
      </c>
      <c r="L8">
        <f t="shared" si="6"/>
        <v>40.698155889950364</v>
      </c>
      <c r="M8">
        <v>110255</v>
      </c>
      <c r="N8">
        <v>4.1428570000000002</v>
      </c>
      <c r="O8">
        <v>4.7272730000000003</v>
      </c>
      <c r="P8">
        <v>3.8181820000000002</v>
      </c>
      <c r="Q8">
        <v>4.8571429999999998</v>
      </c>
      <c r="R8">
        <v>5.3846150000000002</v>
      </c>
      <c r="S8">
        <v>4.461538</v>
      </c>
      <c r="T8" t="s">
        <v>131</v>
      </c>
      <c r="U8" t="s">
        <v>134</v>
      </c>
      <c r="V8">
        <v>4.8899999999999997</v>
      </c>
      <c r="W8">
        <v>3.33</v>
      </c>
      <c r="X8">
        <v>0</v>
      </c>
      <c r="Y8">
        <v>0</v>
      </c>
      <c r="Z8">
        <v>2</v>
      </c>
      <c r="AA8">
        <v>6.17</v>
      </c>
      <c r="AB8">
        <v>5.17</v>
      </c>
      <c r="AC8">
        <v>5.63</v>
      </c>
      <c r="AD8">
        <v>4.83</v>
      </c>
      <c r="AE8">
        <v>5.4</v>
      </c>
      <c r="AF8">
        <v>13</v>
      </c>
      <c r="AG8">
        <v>1</v>
      </c>
      <c r="AH8">
        <v>2</v>
      </c>
      <c r="AI8">
        <v>5</v>
      </c>
      <c r="AJ8">
        <v>5</v>
      </c>
      <c r="AK8">
        <v>6</v>
      </c>
      <c r="AL8">
        <v>5</v>
      </c>
      <c r="AM8">
        <v>8</v>
      </c>
      <c r="AN8">
        <v>4</v>
      </c>
      <c r="AO8">
        <v>2</v>
      </c>
      <c r="AP8">
        <v>25</v>
      </c>
      <c r="AQ8">
        <v>40</v>
      </c>
      <c r="AR8">
        <v>10</v>
      </c>
      <c r="AS8">
        <v>1</v>
      </c>
      <c r="AT8">
        <v>0</v>
      </c>
      <c r="AU8">
        <v>0</v>
      </c>
      <c r="AV8">
        <v>0</v>
      </c>
      <c r="AW8">
        <v>0</v>
      </c>
      <c r="AX8">
        <v>0</v>
      </c>
      <c r="AZ8">
        <v>10</v>
      </c>
      <c r="BA8">
        <v>1.25</v>
      </c>
      <c r="BC8">
        <v>0</v>
      </c>
      <c r="BD8">
        <v>9999</v>
      </c>
      <c r="BE8">
        <v>0.1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20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8991</v>
      </c>
      <c r="BY8">
        <v>0</v>
      </c>
      <c r="BZ8">
        <v>0</v>
      </c>
      <c r="CA8">
        <v>0</v>
      </c>
      <c r="CB8">
        <v>0</v>
      </c>
      <c r="CC8">
        <v>3.8</v>
      </c>
      <c r="CD8">
        <v>3.8</v>
      </c>
      <c r="CE8">
        <v>3.9</v>
      </c>
      <c r="CF8">
        <v>3.83</v>
      </c>
      <c r="CG8">
        <v>6</v>
      </c>
      <c r="CH8">
        <v>5.1666666666666599</v>
      </c>
      <c r="CI8">
        <v>6</v>
      </c>
      <c r="CJ8">
        <v>5.1666666666666599</v>
      </c>
      <c r="CK8">
        <v>1.35</v>
      </c>
      <c r="CL8">
        <v>0</v>
      </c>
      <c r="CM8">
        <v>0</v>
      </c>
      <c r="CN8">
        <v>32</v>
      </c>
      <c r="CO8">
        <v>17</v>
      </c>
      <c r="CP8">
        <v>12</v>
      </c>
      <c r="CQ8">
        <v>1</v>
      </c>
      <c r="CR8">
        <v>43</v>
      </c>
      <c r="CS8">
        <v>30</v>
      </c>
      <c r="CT8">
        <v>45</v>
      </c>
      <c r="CU8" s="1">
        <v>27</v>
      </c>
      <c r="CV8" s="1">
        <v>28</v>
      </c>
      <c r="CW8">
        <v>48</v>
      </c>
      <c r="CX8">
        <v>55</v>
      </c>
      <c r="CY8">
        <v>48</v>
      </c>
      <c r="CZ8">
        <v>49</v>
      </c>
      <c r="DA8">
        <v>48</v>
      </c>
      <c r="DB8">
        <v>60</v>
      </c>
      <c r="DC8">
        <v>0</v>
      </c>
      <c r="DD8">
        <v>0</v>
      </c>
      <c r="DE8">
        <v>7</v>
      </c>
      <c r="DF8">
        <v>1</v>
      </c>
      <c r="DG8">
        <v>45106</v>
      </c>
      <c r="DH8">
        <v>20208</v>
      </c>
      <c r="DI8">
        <v>68.17</v>
      </c>
      <c r="DJ8" t="s">
        <v>133</v>
      </c>
      <c r="DK8" t="s">
        <v>133</v>
      </c>
      <c r="DL8">
        <v>1</v>
      </c>
      <c r="DM8">
        <v>0</v>
      </c>
      <c r="DN8">
        <v>2</v>
      </c>
      <c r="DO8">
        <v>6</v>
      </c>
      <c r="DP8">
        <v>28</v>
      </c>
      <c r="DQ8">
        <v>2.2222222222222001</v>
      </c>
      <c r="DR8">
        <v>12</v>
      </c>
      <c r="DS8">
        <v>999</v>
      </c>
      <c r="DT8">
        <v>7</v>
      </c>
      <c r="DU8">
        <v>0</v>
      </c>
      <c r="DV8">
        <v>999</v>
      </c>
      <c r="DW8">
        <v>11</v>
      </c>
      <c r="DY8">
        <v>1</v>
      </c>
      <c r="DZ8">
        <v>0</v>
      </c>
      <c r="EA8">
        <v>1</v>
      </c>
      <c r="EB8">
        <v>1</v>
      </c>
      <c r="EC8" t="s">
        <v>133</v>
      </c>
      <c r="ED8" t="s">
        <v>133</v>
      </c>
      <c r="EE8" t="s">
        <v>133</v>
      </c>
      <c r="EF8" t="s">
        <v>133</v>
      </c>
      <c r="EG8">
        <v>19120</v>
      </c>
      <c r="EH8">
        <v>1</v>
      </c>
      <c r="EI8">
        <v>0</v>
      </c>
      <c r="EJ8" t="s">
        <v>133</v>
      </c>
      <c r="EK8" t="s">
        <v>133</v>
      </c>
      <c r="EL8" t="s">
        <v>133</v>
      </c>
      <c r="EM8" t="s">
        <v>133</v>
      </c>
      <c r="EN8" t="s">
        <v>133</v>
      </c>
      <c r="EO8" t="s">
        <v>133</v>
      </c>
      <c r="EP8" t="s">
        <v>133</v>
      </c>
      <c r="EQ8" t="s">
        <v>133</v>
      </c>
      <c r="ER8">
        <v>0</v>
      </c>
      <c r="ES8" t="s">
        <v>133</v>
      </c>
    </row>
    <row r="9" spans="1:149" x14ac:dyDescent="0.2">
      <c r="A9">
        <v>10541</v>
      </c>
      <c r="B9">
        <v>69.16</v>
      </c>
      <c r="C9">
        <f t="shared" si="0"/>
        <v>26.107586206896549</v>
      </c>
      <c r="D9">
        <v>2.8</v>
      </c>
      <c r="E9">
        <f t="shared" si="1"/>
        <v>-0.27931034482758621</v>
      </c>
      <c r="F9">
        <v>9</v>
      </c>
      <c r="G9">
        <f t="shared" si="2"/>
        <v>1.568965517241379</v>
      </c>
      <c r="H9">
        <v>3.5833333333333299</v>
      </c>
      <c r="I9">
        <f t="shared" si="3"/>
        <v>-7.2921189060642089</v>
      </c>
      <c r="J9">
        <f t="shared" si="4"/>
        <v>40.961902497027339</v>
      </c>
      <c r="K9">
        <f t="shared" si="5"/>
        <v>-0.43822829964328175</v>
      </c>
      <c r="L9">
        <f t="shared" si="6"/>
        <v>-11.441083111238671</v>
      </c>
      <c r="M9">
        <v>30253</v>
      </c>
      <c r="N9">
        <v>5.3846150000000002</v>
      </c>
      <c r="O9">
        <v>5.1428570000000002</v>
      </c>
      <c r="P9">
        <v>3.8333330000000001</v>
      </c>
      <c r="Q9">
        <v>4.5</v>
      </c>
      <c r="R9">
        <v>6</v>
      </c>
      <c r="S9">
        <v>4.1666670000000003</v>
      </c>
      <c r="T9" t="s">
        <v>131</v>
      </c>
      <c r="U9" t="s">
        <v>134</v>
      </c>
      <c r="V9">
        <v>4.22</v>
      </c>
      <c r="W9">
        <v>2.67</v>
      </c>
      <c r="X9">
        <v>3</v>
      </c>
      <c r="Y9">
        <v>14</v>
      </c>
      <c r="Z9">
        <v>0</v>
      </c>
      <c r="AA9" t="s">
        <v>133</v>
      </c>
      <c r="AB9" t="s">
        <v>133</v>
      </c>
      <c r="AC9" t="s">
        <v>133</v>
      </c>
      <c r="AD9" t="s">
        <v>133</v>
      </c>
      <c r="AE9" t="s">
        <v>133</v>
      </c>
      <c r="AF9">
        <v>20</v>
      </c>
      <c r="AG9">
        <v>1</v>
      </c>
      <c r="AH9">
        <v>5</v>
      </c>
      <c r="AI9">
        <v>2</v>
      </c>
      <c r="AJ9">
        <v>12</v>
      </c>
      <c r="AK9">
        <v>8</v>
      </c>
      <c r="AL9">
        <v>6</v>
      </c>
      <c r="AM9">
        <v>6</v>
      </c>
      <c r="AN9">
        <v>7</v>
      </c>
      <c r="AO9">
        <v>5</v>
      </c>
      <c r="AP9">
        <v>32</v>
      </c>
      <c r="AQ9">
        <v>25</v>
      </c>
      <c r="AR9">
        <v>10</v>
      </c>
      <c r="AS9">
        <v>0</v>
      </c>
      <c r="AT9">
        <v>0</v>
      </c>
      <c r="AU9">
        <v>4.25</v>
      </c>
      <c r="AV9">
        <v>4</v>
      </c>
      <c r="AW9">
        <v>5.5</v>
      </c>
      <c r="AX9">
        <v>3.25</v>
      </c>
      <c r="AZ9">
        <v>7</v>
      </c>
      <c r="BA9">
        <v>3.75</v>
      </c>
      <c r="BC9">
        <v>3.17</v>
      </c>
      <c r="BD9">
        <v>4.1100000000000003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20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8991</v>
      </c>
      <c r="BY9">
        <v>0</v>
      </c>
      <c r="BZ9">
        <v>0</v>
      </c>
      <c r="CA9">
        <v>0</v>
      </c>
      <c r="CB9">
        <v>0</v>
      </c>
      <c r="CC9">
        <v>3.4</v>
      </c>
      <c r="CD9">
        <v>3.1</v>
      </c>
      <c r="CE9">
        <v>3.4</v>
      </c>
      <c r="CF9">
        <v>3.3</v>
      </c>
      <c r="CG9">
        <v>2.3333333333333299</v>
      </c>
      <c r="CH9">
        <v>3.6666666666666599</v>
      </c>
      <c r="CI9">
        <v>4.5</v>
      </c>
      <c r="CJ9">
        <v>3.5</v>
      </c>
      <c r="CK9">
        <v>1.3</v>
      </c>
      <c r="CL9">
        <v>2</v>
      </c>
      <c r="CM9">
        <v>0</v>
      </c>
      <c r="CN9">
        <v>27</v>
      </c>
      <c r="CO9">
        <v>16</v>
      </c>
      <c r="CP9">
        <v>11</v>
      </c>
      <c r="CQ9">
        <v>1.1000000000000001</v>
      </c>
      <c r="CR9">
        <v>35</v>
      </c>
      <c r="CS9">
        <v>27</v>
      </c>
      <c r="CT9">
        <v>36</v>
      </c>
      <c r="CU9" s="1">
        <v>30</v>
      </c>
      <c r="CV9" s="1">
        <v>31</v>
      </c>
      <c r="CW9">
        <v>48</v>
      </c>
      <c r="CX9">
        <v>57</v>
      </c>
      <c r="CY9">
        <v>48</v>
      </c>
      <c r="CZ9">
        <v>58</v>
      </c>
      <c r="DA9">
        <v>41</v>
      </c>
      <c r="DB9">
        <v>60</v>
      </c>
      <c r="DC9">
        <v>0</v>
      </c>
      <c r="DD9">
        <v>0</v>
      </c>
      <c r="DE9">
        <v>3</v>
      </c>
      <c r="DF9">
        <v>1</v>
      </c>
      <c r="DG9">
        <v>45106</v>
      </c>
      <c r="DH9">
        <v>19652</v>
      </c>
      <c r="DI9">
        <v>69.69</v>
      </c>
      <c r="DJ9" t="s">
        <v>133</v>
      </c>
      <c r="DK9" t="s">
        <v>133</v>
      </c>
      <c r="DL9">
        <v>1</v>
      </c>
      <c r="DM9">
        <v>0</v>
      </c>
      <c r="DN9">
        <v>0</v>
      </c>
      <c r="DO9">
        <v>0</v>
      </c>
      <c r="DP9">
        <v>24</v>
      </c>
      <c r="DQ9">
        <v>1.9444444444444</v>
      </c>
      <c r="DR9">
        <v>12</v>
      </c>
      <c r="DS9">
        <v>999</v>
      </c>
      <c r="DT9">
        <v>4</v>
      </c>
      <c r="DU9">
        <v>1</v>
      </c>
      <c r="DV9">
        <v>999</v>
      </c>
      <c r="DW9">
        <v>9</v>
      </c>
      <c r="DY9">
        <v>5</v>
      </c>
      <c r="DZ9">
        <v>4</v>
      </c>
      <c r="EA9">
        <v>8</v>
      </c>
      <c r="EB9">
        <v>5</v>
      </c>
      <c r="EC9" t="s">
        <v>133</v>
      </c>
      <c r="ED9" t="s">
        <v>133</v>
      </c>
      <c r="EE9" t="s">
        <v>133</v>
      </c>
      <c r="EF9">
        <v>1</v>
      </c>
      <c r="EG9">
        <v>7067</v>
      </c>
      <c r="EH9">
        <v>8</v>
      </c>
      <c r="EI9">
        <v>1</v>
      </c>
      <c r="EJ9" t="s">
        <v>133</v>
      </c>
      <c r="EK9" t="s">
        <v>133</v>
      </c>
      <c r="EL9" t="s">
        <v>133</v>
      </c>
      <c r="EM9" t="s">
        <v>133</v>
      </c>
      <c r="EN9" t="s">
        <v>133</v>
      </c>
      <c r="EO9" t="s">
        <v>133</v>
      </c>
      <c r="EP9" t="s">
        <v>133</v>
      </c>
      <c r="EQ9" t="s">
        <v>133</v>
      </c>
      <c r="ER9">
        <v>0</v>
      </c>
      <c r="ES9" t="s">
        <v>133</v>
      </c>
    </row>
    <row r="10" spans="1:149" s="2" customFormat="1" x14ac:dyDescent="0.2">
      <c r="A10" s="2">
        <v>10572</v>
      </c>
      <c r="B10" s="2">
        <v>70.459999999999994</v>
      </c>
      <c r="C10">
        <f t="shared" si="0"/>
        <v>27.407586206896546</v>
      </c>
      <c r="D10" s="2">
        <v>2.6</v>
      </c>
      <c r="E10">
        <f t="shared" si="1"/>
        <v>-0.47931034482758594</v>
      </c>
      <c r="F10" s="2">
        <v>0</v>
      </c>
      <c r="G10">
        <f t="shared" si="2"/>
        <v>-7.431034482758621</v>
      </c>
      <c r="H10" s="2" t="s">
        <v>133</v>
      </c>
      <c r="I10">
        <f t="shared" si="3"/>
        <v>-13.136739595719371</v>
      </c>
      <c r="J10">
        <f t="shared" si="4"/>
        <v>-203.6667181926278</v>
      </c>
      <c r="K10">
        <f t="shared" si="5"/>
        <v>3.5617717003567164</v>
      </c>
      <c r="L10">
        <f t="shared" si="6"/>
        <v>97.619564926811194</v>
      </c>
      <c r="M10" s="2">
        <v>10252</v>
      </c>
      <c r="N10" s="2">
        <v>3</v>
      </c>
      <c r="O10" s="2">
        <v>3.0909089999999999</v>
      </c>
      <c r="P10" s="2">
        <v>3.5</v>
      </c>
      <c r="Q10" s="2">
        <v>3.454545</v>
      </c>
      <c r="R10" s="2">
        <v>4.5454549999999996</v>
      </c>
      <c r="S10" s="2">
        <v>3.1666669999999999</v>
      </c>
      <c r="T10" s="2" t="s">
        <v>131</v>
      </c>
      <c r="U10" s="2" t="s">
        <v>132</v>
      </c>
      <c r="V10" s="2">
        <v>4.22</v>
      </c>
      <c r="W10" s="2">
        <v>3.1</v>
      </c>
      <c r="X10" s="2">
        <v>0</v>
      </c>
      <c r="Y10" s="2">
        <v>0</v>
      </c>
      <c r="Z10" s="2">
        <v>0</v>
      </c>
      <c r="AA10" s="2">
        <v>6.17</v>
      </c>
      <c r="AB10" s="2">
        <v>5.67</v>
      </c>
      <c r="AC10" s="2">
        <v>6.13</v>
      </c>
      <c r="AD10" s="2">
        <v>5.17</v>
      </c>
      <c r="AE10" s="2">
        <v>5.83</v>
      </c>
      <c r="AF10" s="2">
        <v>4</v>
      </c>
      <c r="AG10" s="2">
        <v>0</v>
      </c>
      <c r="AH10" s="2">
        <v>1</v>
      </c>
      <c r="AI10" s="2">
        <v>0</v>
      </c>
      <c r="AJ10" s="2">
        <v>3</v>
      </c>
      <c r="AK10" s="2">
        <v>2</v>
      </c>
      <c r="AL10" s="2">
        <v>4</v>
      </c>
      <c r="AM10" s="2">
        <v>5</v>
      </c>
      <c r="AN10" s="2">
        <v>3</v>
      </c>
      <c r="AO10" s="2">
        <v>4</v>
      </c>
      <c r="AP10" s="2">
        <v>18</v>
      </c>
      <c r="AQ10" s="2">
        <v>31</v>
      </c>
      <c r="AR10" s="2">
        <v>12</v>
      </c>
      <c r="AS10" s="2">
        <v>0</v>
      </c>
      <c r="AT10" s="2">
        <v>0</v>
      </c>
      <c r="AU10" s="2">
        <v>6</v>
      </c>
      <c r="AV10" s="2">
        <v>6</v>
      </c>
      <c r="AW10" s="2">
        <v>6</v>
      </c>
      <c r="AX10" s="2">
        <v>6</v>
      </c>
      <c r="AZ10" s="2">
        <v>6</v>
      </c>
      <c r="BA10" s="2">
        <v>2.25</v>
      </c>
      <c r="BC10" s="2">
        <v>3.17</v>
      </c>
      <c r="BD10" s="2">
        <v>2.69</v>
      </c>
      <c r="BE10" s="2">
        <v>72</v>
      </c>
      <c r="BF10" s="2">
        <v>0</v>
      </c>
      <c r="BG10" s="2">
        <v>0</v>
      </c>
      <c r="BH10" s="2">
        <v>0</v>
      </c>
      <c r="BI10" s="2">
        <v>0</v>
      </c>
      <c r="BJ10" s="2">
        <v>0</v>
      </c>
      <c r="BK10" s="2">
        <v>0</v>
      </c>
      <c r="BL10" s="2">
        <v>0</v>
      </c>
      <c r="BM10" s="2">
        <v>0</v>
      </c>
      <c r="BN10" s="2">
        <v>0</v>
      </c>
      <c r="BO10" s="2">
        <v>20</v>
      </c>
      <c r="BP10" s="2">
        <v>0</v>
      </c>
      <c r="BQ10" s="2">
        <v>0</v>
      </c>
      <c r="BR10" s="2">
        <v>0</v>
      </c>
      <c r="BS10" s="2">
        <v>0</v>
      </c>
      <c r="BT10" s="2">
        <v>0</v>
      </c>
      <c r="BU10" s="2">
        <v>0</v>
      </c>
      <c r="BV10" s="2">
        <v>0</v>
      </c>
      <c r="BW10" s="2">
        <v>0</v>
      </c>
      <c r="BX10" s="2">
        <v>8991</v>
      </c>
      <c r="BY10" s="2">
        <v>0</v>
      </c>
      <c r="BZ10" s="2">
        <v>0</v>
      </c>
      <c r="CA10" s="2">
        <v>0</v>
      </c>
      <c r="CB10" s="2">
        <v>0</v>
      </c>
      <c r="CC10" s="2">
        <v>3.2</v>
      </c>
      <c r="CD10" s="2">
        <v>3.3</v>
      </c>
      <c r="CE10" s="2">
        <v>3.7</v>
      </c>
      <c r="CF10" s="2">
        <v>3.4</v>
      </c>
      <c r="CG10" s="2">
        <v>2.6666666666666599</v>
      </c>
      <c r="CH10" s="2">
        <v>2.6666666666666599</v>
      </c>
      <c r="CI10" s="2">
        <v>4.3333333333333304</v>
      </c>
      <c r="CJ10" s="2">
        <v>2.6666666666666599</v>
      </c>
      <c r="CK10" s="2">
        <v>0.3</v>
      </c>
      <c r="CL10" s="2">
        <v>0</v>
      </c>
      <c r="CM10" s="2">
        <v>0</v>
      </c>
      <c r="CN10" s="2">
        <v>29</v>
      </c>
      <c r="CO10" s="2">
        <v>18</v>
      </c>
      <c r="CP10" s="2">
        <v>11</v>
      </c>
      <c r="CQ10" s="2">
        <v>0.91666666666666596</v>
      </c>
      <c r="CR10" s="2">
        <v>40</v>
      </c>
      <c r="CS10" s="2">
        <v>28</v>
      </c>
      <c r="CT10" s="2">
        <v>42</v>
      </c>
      <c r="CU10" s="3">
        <v>27</v>
      </c>
      <c r="CV10" s="3">
        <v>29</v>
      </c>
      <c r="CW10" s="2">
        <v>46</v>
      </c>
      <c r="CX10" s="2">
        <v>60</v>
      </c>
      <c r="CY10" s="2">
        <v>42</v>
      </c>
      <c r="CZ10" s="2">
        <v>60</v>
      </c>
      <c r="DA10" s="2">
        <v>29</v>
      </c>
      <c r="DB10" s="2">
        <v>60</v>
      </c>
      <c r="DC10" s="2">
        <v>0</v>
      </c>
      <c r="DD10" s="2">
        <v>0</v>
      </c>
      <c r="DE10" s="2">
        <v>2</v>
      </c>
      <c r="DF10" s="2">
        <v>1</v>
      </c>
      <c r="DG10" s="2">
        <v>45106</v>
      </c>
      <c r="DH10" s="2">
        <v>19250</v>
      </c>
      <c r="DI10" s="2">
        <v>70.790000000000006</v>
      </c>
      <c r="DJ10" s="2" t="s">
        <v>133</v>
      </c>
      <c r="DK10" s="2" t="s">
        <v>133</v>
      </c>
      <c r="DL10" s="2">
        <v>1</v>
      </c>
      <c r="DM10" s="2">
        <v>0</v>
      </c>
      <c r="DN10" s="2">
        <v>0</v>
      </c>
      <c r="DO10" s="2" t="s">
        <v>133</v>
      </c>
      <c r="DP10" s="2">
        <v>28</v>
      </c>
      <c r="DQ10" s="2">
        <v>2.3333333333333002</v>
      </c>
      <c r="DR10" s="2">
        <v>12</v>
      </c>
      <c r="DS10" s="2">
        <v>999</v>
      </c>
      <c r="DT10" s="2">
        <v>6</v>
      </c>
      <c r="DU10" s="2">
        <v>2</v>
      </c>
      <c r="DV10" s="2">
        <v>999</v>
      </c>
      <c r="DW10" s="2">
        <v>8</v>
      </c>
      <c r="DY10" s="2">
        <v>5</v>
      </c>
      <c r="DZ10" s="2">
        <v>1</v>
      </c>
      <c r="EA10" s="2">
        <v>7</v>
      </c>
      <c r="EB10" s="2">
        <v>5</v>
      </c>
      <c r="EC10" s="2" t="s">
        <v>133</v>
      </c>
      <c r="ED10" s="2" t="s">
        <v>133</v>
      </c>
      <c r="EE10" s="2" t="s">
        <v>133</v>
      </c>
      <c r="EF10" s="2">
        <v>1</v>
      </c>
      <c r="EG10" s="2">
        <v>18249</v>
      </c>
      <c r="EH10" s="2">
        <v>7</v>
      </c>
      <c r="EI10" s="2">
        <v>1</v>
      </c>
      <c r="EJ10" s="2" t="s">
        <v>133</v>
      </c>
      <c r="EK10" s="2" t="s">
        <v>133</v>
      </c>
      <c r="EL10" s="2" t="s">
        <v>133</v>
      </c>
      <c r="EM10" s="2" t="s">
        <v>133</v>
      </c>
      <c r="EN10" s="2" t="s">
        <v>133</v>
      </c>
      <c r="EO10" s="2" t="s">
        <v>133</v>
      </c>
      <c r="EP10" s="2" t="s">
        <v>133</v>
      </c>
      <c r="EQ10" s="2" t="s">
        <v>133</v>
      </c>
      <c r="ER10" s="2">
        <v>0</v>
      </c>
      <c r="ES10" s="2" t="s">
        <v>133</v>
      </c>
    </row>
    <row r="11" spans="1:149" x14ac:dyDescent="0.2">
      <c r="A11">
        <v>10581</v>
      </c>
      <c r="B11">
        <v>48.03</v>
      </c>
      <c r="C11">
        <f t="shared" si="0"/>
        <v>4.9775862068965537</v>
      </c>
      <c r="D11">
        <v>2.9</v>
      </c>
      <c r="E11">
        <f t="shared" si="1"/>
        <v>-0.17931034482758612</v>
      </c>
      <c r="F11">
        <v>8</v>
      </c>
      <c r="G11">
        <f t="shared" si="2"/>
        <v>0.568965517241379</v>
      </c>
      <c r="H11">
        <v>5</v>
      </c>
      <c r="I11">
        <f t="shared" si="3"/>
        <v>-0.89253269916765754</v>
      </c>
      <c r="J11">
        <f t="shared" si="4"/>
        <v>2.8320749108204515</v>
      </c>
      <c r="K11">
        <f t="shared" si="5"/>
        <v>-0.10202140309155756</v>
      </c>
      <c r="L11">
        <f t="shared" si="6"/>
        <v>-0.50782032883677042</v>
      </c>
      <c r="M11">
        <v>101274</v>
      </c>
      <c r="N11">
        <v>3.4</v>
      </c>
      <c r="O11">
        <v>2.25</v>
      </c>
      <c r="P11">
        <v>4.5454549999999996</v>
      </c>
      <c r="Q11">
        <v>3</v>
      </c>
      <c r="R11">
        <v>6.5454549999999996</v>
      </c>
      <c r="S11">
        <v>5.5714290000000002</v>
      </c>
      <c r="T11" t="s">
        <v>135</v>
      </c>
      <c r="U11" t="s">
        <v>134</v>
      </c>
      <c r="V11">
        <v>4.4400000000000004</v>
      </c>
      <c r="W11">
        <v>3.78</v>
      </c>
      <c r="X11">
        <v>4</v>
      </c>
      <c r="Y11">
        <v>2</v>
      </c>
      <c r="Z11">
        <v>0</v>
      </c>
      <c r="AA11" t="s">
        <v>133</v>
      </c>
      <c r="AB11" t="s">
        <v>133</v>
      </c>
      <c r="AC11" t="s">
        <v>133</v>
      </c>
      <c r="AD11" t="s">
        <v>133</v>
      </c>
      <c r="AE11" t="s">
        <v>133</v>
      </c>
      <c r="AF11">
        <v>18</v>
      </c>
      <c r="AG11">
        <v>2</v>
      </c>
      <c r="AH11">
        <v>7</v>
      </c>
      <c r="AI11">
        <v>2</v>
      </c>
      <c r="AJ11">
        <v>7</v>
      </c>
      <c r="AK11">
        <v>1</v>
      </c>
      <c r="AL11">
        <v>5</v>
      </c>
      <c r="AM11">
        <v>4</v>
      </c>
      <c r="AN11">
        <v>3</v>
      </c>
      <c r="AO11">
        <v>3</v>
      </c>
      <c r="AP11">
        <v>16</v>
      </c>
      <c r="AQ11">
        <v>29</v>
      </c>
      <c r="AR11">
        <v>9</v>
      </c>
      <c r="AS11">
        <v>0</v>
      </c>
      <c r="AT11">
        <v>0</v>
      </c>
      <c r="AU11">
        <v>5.67</v>
      </c>
      <c r="AV11">
        <v>6</v>
      </c>
      <c r="AW11">
        <v>6</v>
      </c>
      <c r="AX11">
        <v>5</v>
      </c>
      <c r="AZ11">
        <v>6</v>
      </c>
      <c r="BA11">
        <v>1.83</v>
      </c>
      <c r="BC11">
        <v>0</v>
      </c>
      <c r="BD11">
        <v>9999</v>
      </c>
      <c r="BE11">
        <v>154.1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20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8991</v>
      </c>
      <c r="BY11">
        <v>0</v>
      </c>
      <c r="BZ11">
        <v>0</v>
      </c>
      <c r="CA11">
        <v>0</v>
      </c>
      <c r="CB11">
        <v>0</v>
      </c>
      <c r="CC11">
        <v>4.0999999999999996</v>
      </c>
      <c r="CD11">
        <v>3.5</v>
      </c>
      <c r="CE11">
        <v>4.2</v>
      </c>
      <c r="CF11">
        <v>3.93</v>
      </c>
      <c r="CG11">
        <v>1</v>
      </c>
      <c r="CH11">
        <v>1</v>
      </c>
      <c r="CI11">
        <v>1</v>
      </c>
      <c r="CJ11">
        <v>1</v>
      </c>
      <c r="CK11">
        <v>0.3</v>
      </c>
      <c r="CL11">
        <v>4</v>
      </c>
      <c r="CM11">
        <v>1</v>
      </c>
      <c r="CN11">
        <v>20</v>
      </c>
      <c r="CO11">
        <v>20</v>
      </c>
      <c r="CP11">
        <v>6</v>
      </c>
      <c r="CQ11">
        <v>0.66666666666666596</v>
      </c>
      <c r="CR11">
        <v>20</v>
      </c>
      <c r="CS11">
        <v>33</v>
      </c>
      <c r="CT11">
        <v>43</v>
      </c>
      <c r="CU11" s="1">
        <v>20</v>
      </c>
      <c r="CV11" s="1">
        <v>20</v>
      </c>
      <c r="CW11">
        <v>42</v>
      </c>
      <c r="CX11">
        <v>60</v>
      </c>
      <c r="CY11">
        <v>30</v>
      </c>
      <c r="CZ11">
        <v>60</v>
      </c>
      <c r="DA11">
        <v>30</v>
      </c>
      <c r="DB11">
        <v>60</v>
      </c>
      <c r="DC11">
        <v>0</v>
      </c>
      <c r="DD11">
        <v>0</v>
      </c>
      <c r="DE11">
        <v>2</v>
      </c>
      <c r="DF11">
        <v>2</v>
      </c>
      <c r="DG11">
        <v>45106</v>
      </c>
      <c r="DH11">
        <v>27360</v>
      </c>
      <c r="DI11">
        <v>48.59</v>
      </c>
      <c r="DJ11" t="s">
        <v>133</v>
      </c>
      <c r="DK11" t="s">
        <v>133</v>
      </c>
      <c r="DL11">
        <v>3</v>
      </c>
      <c r="DM11">
        <v>0</v>
      </c>
      <c r="DN11">
        <v>4</v>
      </c>
      <c r="DO11">
        <v>2</v>
      </c>
      <c r="DP11">
        <v>0</v>
      </c>
      <c r="DQ11">
        <v>2.5</v>
      </c>
      <c r="DR11">
        <v>9</v>
      </c>
      <c r="DS11">
        <v>999</v>
      </c>
      <c r="DT11">
        <v>6</v>
      </c>
      <c r="DU11">
        <v>0</v>
      </c>
      <c r="DV11">
        <v>999</v>
      </c>
      <c r="DW11">
        <v>9</v>
      </c>
      <c r="DY11">
        <v>1</v>
      </c>
      <c r="DZ11">
        <v>0</v>
      </c>
      <c r="EA11">
        <v>6</v>
      </c>
      <c r="EB11">
        <v>1</v>
      </c>
      <c r="EC11" t="s">
        <v>133</v>
      </c>
      <c r="ED11" t="s">
        <v>133</v>
      </c>
      <c r="EE11" t="s">
        <v>133</v>
      </c>
      <c r="EF11">
        <v>1</v>
      </c>
      <c r="EG11">
        <v>19138</v>
      </c>
      <c r="EH11">
        <v>6</v>
      </c>
      <c r="EI11">
        <v>1</v>
      </c>
      <c r="EJ11" t="s">
        <v>133</v>
      </c>
      <c r="EK11" t="s">
        <v>133</v>
      </c>
      <c r="EL11" t="s">
        <v>133</v>
      </c>
      <c r="EM11" t="s">
        <v>133</v>
      </c>
      <c r="EN11" t="s">
        <v>133</v>
      </c>
      <c r="EO11" t="s">
        <v>133</v>
      </c>
      <c r="EP11" t="s">
        <v>133</v>
      </c>
      <c r="EQ11" t="s">
        <v>133</v>
      </c>
      <c r="ER11" t="s">
        <v>133</v>
      </c>
      <c r="ES11" t="s">
        <v>133</v>
      </c>
    </row>
    <row r="12" spans="1:149" x14ac:dyDescent="0.2">
      <c r="A12">
        <v>10584</v>
      </c>
      <c r="B12">
        <v>49.64</v>
      </c>
      <c r="C12">
        <f t="shared" si="0"/>
        <v>6.5875862068965532</v>
      </c>
      <c r="D12">
        <v>3</v>
      </c>
      <c r="E12">
        <f t="shared" si="1"/>
        <v>-7.9310344827586032E-2</v>
      </c>
      <c r="F12">
        <v>0</v>
      </c>
      <c r="G12">
        <f t="shared" si="2"/>
        <v>-7.431034482758621</v>
      </c>
      <c r="H12">
        <v>3.5</v>
      </c>
      <c r="I12">
        <f t="shared" si="3"/>
        <v>-0.5224637336504151</v>
      </c>
      <c r="J12">
        <f t="shared" si="4"/>
        <v>-48.952580261593354</v>
      </c>
      <c r="K12">
        <f t="shared" si="5"/>
        <v>0.58935790725326864</v>
      </c>
      <c r="L12">
        <f t="shared" si="6"/>
        <v>3.8824460207470501</v>
      </c>
      <c r="M12">
        <v>221173</v>
      </c>
      <c r="N12">
        <v>3.5714290000000002</v>
      </c>
      <c r="O12">
        <v>3.8</v>
      </c>
      <c r="P12">
        <v>2.8333330000000001</v>
      </c>
      <c r="Q12">
        <v>5.0909089999999999</v>
      </c>
      <c r="R12">
        <v>3.0909089999999999</v>
      </c>
      <c r="S12">
        <v>2.25</v>
      </c>
      <c r="T12" t="s">
        <v>131</v>
      </c>
      <c r="U12" t="s">
        <v>132</v>
      </c>
      <c r="V12">
        <v>4.22</v>
      </c>
      <c r="W12">
        <v>3</v>
      </c>
      <c r="X12">
        <v>1</v>
      </c>
      <c r="Y12">
        <v>3</v>
      </c>
      <c r="Z12">
        <v>0</v>
      </c>
      <c r="AA12">
        <v>5.83</v>
      </c>
      <c r="AB12">
        <v>4.83</v>
      </c>
      <c r="AC12">
        <v>5.63</v>
      </c>
      <c r="AD12">
        <v>4.33</v>
      </c>
      <c r="AE12">
        <v>5.13</v>
      </c>
      <c r="AF12">
        <v>16</v>
      </c>
      <c r="AG12">
        <v>1</v>
      </c>
      <c r="AH12">
        <v>5</v>
      </c>
      <c r="AI12">
        <v>1</v>
      </c>
      <c r="AJ12">
        <v>9</v>
      </c>
      <c r="AK12">
        <v>4</v>
      </c>
      <c r="AL12">
        <v>6</v>
      </c>
      <c r="AM12">
        <v>8</v>
      </c>
      <c r="AN12">
        <v>6</v>
      </c>
      <c r="AO12">
        <v>3</v>
      </c>
      <c r="AP12">
        <v>27</v>
      </c>
      <c r="AQ12">
        <v>30</v>
      </c>
      <c r="AR12">
        <v>14</v>
      </c>
      <c r="AS12">
        <v>0</v>
      </c>
      <c r="AT12">
        <v>0</v>
      </c>
      <c r="AU12">
        <v>5.5</v>
      </c>
      <c r="AV12">
        <v>6</v>
      </c>
      <c r="AW12">
        <v>4.5</v>
      </c>
      <c r="AX12">
        <v>6</v>
      </c>
      <c r="AZ12">
        <v>15</v>
      </c>
      <c r="BA12">
        <v>1.42</v>
      </c>
      <c r="BC12">
        <v>0</v>
      </c>
      <c r="BD12">
        <v>2.63</v>
      </c>
      <c r="BE12">
        <v>55</v>
      </c>
      <c r="BF12">
        <v>21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94</v>
      </c>
      <c r="BP12">
        <v>74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8991</v>
      </c>
      <c r="BY12">
        <v>0</v>
      </c>
      <c r="BZ12">
        <v>0</v>
      </c>
      <c r="CA12">
        <v>0</v>
      </c>
      <c r="CB12">
        <v>0</v>
      </c>
      <c r="CC12">
        <v>3.8</v>
      </c>
      <c r="CD12">
        <v>4</v>
      </c>
      <c r="CE12">
        <v>4.2</v>
      </c>
      <c r="CF12">
        <v>4</v>
      </c>
      <c r="CG12">
        <v>6</v>
      </c>
      <c r="CH12">
        <v>6</v>
      </c>
      <c r="CI12">
        <v>6</v>
      </c>
      <c r="CJ12">
        <v>3.8333333333333299</v>
      </c>
      <c r="CK12">
        <v>1.35</v>
      </c>
      <c r="CL12">
        <v>0</v>
      </c>
      <c r="CM12">
        <v>0</v>
      </c>
      <c r="CN12">
        <v>28</v>
      </c>
      <c r="CO12">
        <v>20</v>
      </c>
      <c r="CP12">
        <v>10</v>
      </c>
      <c r="CQ12">
        <v>0.90909090909090895</v>
      </c>
      <c r="CR12">
        <v>38</v>
      </c>
      <c r="CS12">
        <v>45</v>
      </c>
      <c r="CT12">
        <v>44</v>
      </c>
      <c r="CU12" s="1">
        <v>30</v>
      </c>
      <c r="CV12" s="1">
        <v>38</v>
      </c>
      <c r="CW12">
        <v>48</v>
      </c>
      <c r="CX12">
        <v>50</v>
      </c>
      <c r="CY12">
        <v>47</v>
      </c>
      <c r="CZ12">
        <v>60</v>
      </c>
      <c r="DA12">
        <v>39</v>
      </c>
      <c r="DB12">
        <v>60</v>
      </c>
      <c r="DC12">
        <v>0</v>
      </c>
      <c r="DD12">
        <v>0</v>
      </c>
      <c r="DE12">
        <v>6</v>
      </c>
      <c r="DF12">
        <v>2</v>
      </c>
      <c r="DG12">
        <v>45001</v>
      </c>
      <c r="DH12">
        <v>26779</v>
      </c>
      <c r="DI12">
        <v>49.89</v>
      </c>
      <c r="DJ12">
        <v>4</v>
      </c>
      <c r="DK12">
        <v>1</v>
      </c>
      <c r="DL12">
        <v>3</v>
      </c>
      <c r="DM12">
        <v>0</v>
      </c>
      <c r="DN12">
        <v>1</v>
      </c>
      <c r="DO12">
        <v>4</v>
      </c>
      <c r="DP12">
        <v>0</v>
      </c>
      <c r="DQ12">
        <v>2.4444444444443998</v>
      </c>
      <c r="DR12">
        <v>12</v>
      </c>
      <c r="DS12">
        <v>999</v>
      </c>
      <c r="DT12">
        <v>7</v>
      </c>
      <c r="DU12">
        <v>2</v>
      </c>
      <c r="DV12">
        <v>999</v>
      </c>
      <c r="DW12">
        <v>10</v>
      </c>
      <c r="DY12">
        <v>5</v>
      </c>
      <c r="DZ12">
        <v>5</v>
      </c>
      <c r="EA12">
        <v>8</v>
      </c>
      <c r="EB12">
        <v>5</v>
      </c>
      <c r="EC12" t="s">
        <v>133</v>
      </c>
      <c r="ED12" t="s">
        <v>133</v>
      </c>
      <c r="EE12" t="s">
        <v>133</v>
      </c>
      <c r="EF12" t="s">
        <v>133</v>
      </c>
      <c r="EG12">
        <v>19027</v>
      </c>
      <c r="EH12">
        <v>8</v>
      </c>
      <c r="EI12">
        <v>1</v>
      </c>
      <c r="EJ12" t="s">
        <v>133</v>
      </c>
      <c r="EK12" t="s">
        <v>133</v>
      </c>
      <c r="EL12" t="s">
        <v>133</v>
      </c>
      <c r="EM12" t="s">
        <v>133</v>
      </c>
      <c r="EN12" t="s">
        <v>133</v>
      </c>
      <c r="EO12" t="s">
        <v>133</v>
      </c>
      <c r="EP12" t="s">
        <v>133</v>
      </c>
      <c r="EQ12" t="s">
        <v>133</v>
      </c>
      <c r="ER12" t="s">
        <v>133</v>
      </c>
      <c r="ES12" t="s">
        <v>133</v>
      </c>
    </row>
    <row r="13" spans="1:149" s="2" customFormat="1" x14ac:dyDescent="0.2">
      <c r="A13" s="2">
        <v>10585</v>
      </c>
      <c r="B13" s="2">
        <v>63.33</v>
      </c>
      <c r="C13">
        <f t="shared" si="0"/>
        <v>20.277586206896551</v>
      </c>
      <c r="D13" s="2">
        <v>3</v>
      </c>
      <c r="E13">
        <f t="shared" si="1"/>
        <v>-7.9310344827586032E-2</v>
      </c>
      <c r="F13" s="2">
        <v>8</v>
      </c>
      <c r="G13">
        <f t="shared" si="2"/>
        <v>0.568965517241379</v>
      </c>
      <c r="H13" s="2" t="s">
        <v>133</v>
      </c>
      <c r="I13">
        <f t="shared" si="3"/>
        <v>-1.6082223543400678</v>
      </c>
      <c r="J13">
        <f t="shared" si="4"/>
        <v>11.537247324613549</v>
      </c>
      <c r="K13">
        <f t="shared" si="5"/>
        <v>-4.5124851367419616E-2</v>
      </c>
      <c r="L13">
        <f t="shared" si="6"/>
        <v>-0.91502306367624497</v>
      </c>
      <c r="M13" s="2">
        <v>161859</v>
      </c>
      <c r="N13" s="2">
        <v>4.6666670000000003</v>
      </c>
      <c r="O13" s="2">
        <v>4.3636359999999996</v>
      </c>
      <c r="P13" s="2">
        <v>4.9230770000000001</v>
      </c>
      <c r="Q13" s="2">
        <v>4.7692310000000004</v>
      </c>
      <c r="R13" s="2">
        <v>5.7142860000000004</v>
      </c>
      <c r="S13" s="2">
        <v>5.8333329999999997</v>
      </c>
      <c r="T13" s="2" t="s">
        <v>131</v>
      </c>
      <c r="U13" s="2" t="s">
        <v>132</v>
      </c>
      <c r="V13" s="2">
        <v>4.67</v>
      </c>
      <c r="W13" s="2">
        <v>4</v>
      </c>
      <c r="X13" s="2">
        <v>4</v>
      </c>
      <c r="Y13" s="2">
        <v>4</v>
      </c>
      <c r="Z13" s="2">
        <v>0</v>
      </c>
      <c r="AA13" s="2">
        <v>6.67</v>
      </c>
      <c r="AB13" s="2">
        <v>5.67</v>
      </c>
      <c r="AC13" s="2">
        <v>5.63</v>
      </c>
      <c r="AD13" s="2">
        <v>5.17</v>
      </c>
      <c r="AE13" s="2">
        <v>5.8</v>
      </c>
      <c r="AF13" s="2">
        <v>19</v>
      </c>
      <c r="AG13" s="2">
        <v>2</v>
      </c>
      <c r="AH13" s="2">
        <v>12</v>
      </c>
      <c r="AI13" s="2">
        <v>4</v>
      </c>
      <c r="AJ13" s="2">
        <v>1</v>
      </c>
      <c r="AK13" s="2">
        <v>0</v>
      </c>
      <c r="AL13" s="2">
        <v>5</v>
      </c>
      <c r="AM13" s="2">
        <v>6</v>
      </c>
      <c r="AN13" s="2">
        <v>1</v>
      </c>
      <c r="AO13" s="2">
        <v>1</v>
      </c>
      <c r="AP13" s="2">
        <v>13</v>
      </c>
      <c r="AQ13" s="2">
        <v>30</v>
      </c>
      <c r="AR13" s="2">
        <v>9</v>
      </c>
      <c r="AS13" s="2">
        <v>0</v>
      </c>
      <c r="AT13" s="2">
        <v>0</v>
      </c>
      <c r="AU13" s="2">
        <v>6</v>
      </c>
      <c r="AV13" s="2">
        <v>6</v>
      </c>
      <c r="AW13" s="2">
        <v>6</v>
      </c>
      <c r="AX13" s="2">
        <v>6</v>
      </c>
      <c r="AZ13" s="2">
        <v>11</v>
      </c>
      <c r="BA13" s="2">
        <v>2.58</v>
      </c>
      <c r="BC13" s="2">
        <v>0</v>
      </c>
      <c r="BD13" s="2">
        <v>3.43</v>
      </c>
      <c r="BE13" s="2">
        <v>0</v>
      </c>
      <c r="BF13" s="2">
        <v>0</v>
      </c>
      <c r="BG13" s="2">
        <v>0</v>
      </c>
      <c r="BH13" s="2">
        <v>0</v>
      </c>
      <c r="BI13" s="2">
        <v>0</v>
      </c>
      <c r="BJ13" s="2">
        <v>0</v>
      </c>
      <c r="BK13" s="2">
        <v>0</v>
      </c>
      <c r="BL13" s="2">
        <v>0</v>
      </c>
      <c r="BM13" s="2">
        <v>0</v>
      </c>
      <c r="BN13" s="2">
        <v>0</v>
      </c>
      <c r="BO13" s="2">
        <v>20</v>
      </c>
      <c r="BP13" s="2">
        <v>0</v>
      </c>
      <c r="BQ13" s="2">
        <v>0</v>
      </c>
      <c r="BR13" s="2">
        <v>0</v>
      </c>
      <c r="BS13" s="2">
        <v>0</v>
      </c>
      <c r="BT13" s="2">
        <v>0</v>
      </c>
      <c r="BU13" s="2">
        <v>0</v>
      </c>
      <c r="BV13" s="2">
        <v>0</v>
      </c>
      <c r="BW13" s="2">
        <v>0</v>
      </c>
      <c r="BX13" s="2">
        <v>8991</v>
      </c>
      <c r="BY13" s="2">
        <v>0</v>
      </c>
      <c r="BZ13" s="2">
        <v>0</v>
      </c>
      <c r="CA13" s="2">
        <v>0</v>
      </c>
      <c r="CB13" s="2">
        <v>0</v>
      </c>
      <c r="CC13" s="2">
        <v>3.6</v>
      </c>
      <c r="CD13" s="2">
        <v>3.7</v>
      </c>
      <c r="CE13" s="2">
        <v>3.9</v>
      </c>
      <c r="CF13" s="2">
        <v>3.73</v>
      </c>
      <c r="CG13" s="2">
        <v>2.6666666666666599</v>
      </c>
      <c r="CH13" s="2">
        <v>3.3333333333333299</v>
      </c>
      <c r="CI13" s="2">
        <v>6</v>
      </c>
      <c r="CJ13" s="2">
        <v>4</v>
      </c>
      <c r="CK13" s="2">
        <v>1.8</v>
      </c>
      <c r="CL13" s="2">
        <v>0</v>
      </c>
      <c r="CM13" s="2">
        <v>0</v>
      </c>
      <c r="CN13" s="2">
        <v>22</v>
      </c>
      <c r="CO13" s="2">
        <v>20</v>
      </c>
      <c r="CP13" s="2">
        <v>9</v>
      </c>
      <c r="CQ13" s="2">
        <v>0.9</v>
      </c>
      <c r="CR13" s="2">
        <v>31</v>
      </c>
      <c r="CS13" s="2">
        <v>28</v>
      </c>
      <c r="CT13" s="2">
        <v>36</v>
      </c>
      <c r="CU13" s="3">
        <v>32</v>
      </c>
      <c r="CV13" s="3">
        <v>29</v>
      </c>
      <c r="CW13" s="2">
        <v>38</v>
      </c>
      <c r="CX13" s="2">
        <v>60</v>
      </c>
      <c r="CY13" s="2">
        <v>34</v>
      </c>
      <c r="CZ13" s="2">
        <v>60</v>
      </c>
      <c r="DA13" s="2">
        <v>27</v>
      </c>
      <c r="DB13" s="2">
        <v>60</v>
      </c>
      <c r="DC13" s="2">
        <v>0</v>
      </c>
      <c r="DD13" s="2">
        <v>0</v>
      </c>
      <c r="DE13" s="2">
        <v>7</v>
      </c>
      <c r="DF13" s="2">
        <v>1</v>
      </c>
      <c r="DG13" s="2">
        <v>45106</v>
      </c>
      <c r="DH13" s="2">
        <v>21854</v>
      </c>
      <c r="DI13" s="2">
        <v>63.66</v>
      </c>
      <c r="DJ13" s="2" t="s">
        <v>133</v>
      </c>
      <c r="DK13" s="2" t="s">
        <v>133</v>
      </c>
      <c r="DL13" s="2">
        <v>0</v>
      </c>
      <c r="DM13" s="2">
        <v>0</v>
      </c>
      <c r="DN13" s="2">
        <v>1</v>
      </c>
      <c r="DO13" s="2" t="s">
        <v>133</v>
      </c>
      <c r="DP13" s="2">
        <v>28</v>
      </c>
      <c r="DQ13" s="2">
        <v>2.6111111111111001</v>
      </c>
      <c r="DR13" s="2">
        <v>12</v>
      </c>
      <c r="DS13" s="2">
        <v>999</v>
      </c>
      <c r="DT13" s="2">
        <v>7</v>
      </c>
      <c r="DU13" s="2">
        <v>1</v>
      </c>
      <c r="DV13" s="2">
        <v>999</v>
      </c>
      <c r="DW13" s="2">
        <v>10</v>
      </c>
      <c r="DY13" s="2">
        <v>6</v>
      </c>
      <c r="DZ13" s="2">
        <v>3</v>
      </c>
      <c r="EA13" s="2">
        <v>8</v>
      </c>
      <c r="EB13" s="2">
        <v>6</v>
      </c>
      <c r="EC13" s="2" t="s">
        <v>133</v>
      </c>
      <c r="ED13" s="2" t="s">
        <v>133</v>
      </c>
      <c r="EE13" s="2" t="s">
        <v>133</v>
      </c>
      <c r="EF13" s="2">
        <v>2</v>
      </c>
      <c r="EG13" s="2">
        <v>11793</v>
      </c>
      <c r="EH13" s="2">
        <v>8</v>
      </c>
      <c r="EI13" s="2">
        <v>1</v>
      </c>
      <c r="EJ13" s="2" t="s">
        <v>133</v>
      </c>
      <c r="EK13" s="2" t="s">
        <v>133</v>
      </c>
      <c r="EL13" s="2" t="s">
        <v>133</v>
      </c>
      <c r="EM13" s="2" t="s">
        <v>133</v>
      </c>
      <c r="EN13" s="2" t="s">
        <v>133</v>
      </c>
      <c r="EO13" s="2" t="s">
        <v>133</v>
      </c>
      <c r="EP13" s="2" t="s">
        <v>133</v>
      </c>
      <c r="EQ13" s="2" t="s">
        <v>133</v>
      </c>
      <c r="ER13" s="2">
        <v>0</v>
      </c>
      <c r="ES13" s="2" t="s">
        <v>133</v>
      </c>
    </row>
    <row r="14" spans="1:149" x14ac:dyDescent="0.2">
      <c r="A14">
        <v>10589</v>
      </c>
      <c r="B14">
        <v>34.869999999999997</v>
      </c>
      <c r="C14">
        <f t="shared" si="0"/>
        <v>-8.18241379310345</v>
      </c>
      <c r="D14">
        <v>3.9</v>
      </c>
      <c r="E14">
        <f t="shared" si="1"/>
        <v>0.82068965517241388</v>
      </c>
      <c r="F14">
        <v>2</v>
      </c>
      <c r="G14">
        <f t="shared" si="2"/>
        <v>-5.431034482758621</v>
      </c>
      <c r="H14">
        <v>3.5833333333333299</v>
      </c>
      <c r="I14">
        <f t="shared" si="3"/>
        <v>-6.7152223543400735</v>
      </c>
      <c r="J14">
        <f t="shared" si="4"/>
        <v>44.4389714625446</v>
      </c>
      <c r="K14">
        <f t="shared" si="5"/>
        <v>-4.4571938168846614</v>
      </c>
      <c r="L14">
        <f t="shared" si="6"/>
        <v>36.470604165812468</v>
      </c>
      <c r="M14">
        <v>161988</v>
      </c>
      <c r="N14">
        <v>3.8571430000000002</v>
      </c>
      <c r="O14">
        <v>4.461538</v>
      </c>
      <c r="P14">
        <v>3.8461539999999999</v>
      </c>
      <c r="Q14">
        <v>4.6153849999999998</v>
      </c>
      <c r="R14">
        <v>6</v>
      </c>
      <c r="S14">
        <v>5</v>
      </c>
      <c r="T14" t="s">
        <v>131</v>
      </c>
      <c r="U14" t="s">
        <v>134</v>
      </c>
      <c r="V14">
        <v>4.4400000000000004</v>
      </c>
      <c r="W14">
        <v>2.5</v>
      </c>
      <c r="X14">
        <v>2</v>
      </c>
      <c r="Y14">
        <v>13</v>
      </c>
      <c r="Z14">
        <v>0</v>
      </c>
      <c r="AA14">
        <v>2.83</v>
      </c>
      <c r="AB14">
        <v>3</v>
      </c>
      <c r="AC14">
        <v>3.75</v>
      </c>
      <c r="AD14">
        <v>3.83</v>
      </c>
      <c r="AE14">
        <v>3.23</v>
      </c>
      <c r="AF14">
        <v>45</v>
      </c>
      <c r="AG14">
        <v>10</v>
      </c>
      <c r="AH14">
        <v>21</v>
      </c>
      <c r="AI14">
        <v>4</v>
      </c>
      <c r="AJ14">
        <v>10</v>
      </c>
      <c r="AK14">
        <v>4</v>
      </c>
      <c r="AL14">
        <v>8</v>
      </c>
      <c r="AM14">
        <v>6</v>
      </c>
      <c r="AN14">
        <v>6</v>
      </c>
      <c r="AO14">
        <v>6</v>
      </c>
      <c r="AP14">
        <v>30</v>
      </c>
      <c r="AQ14">
        <v>26</v>
      </c>
      <c r="AR14">
        <v>17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Z14">
        <v>18</v>
      </c>
      <c r="BA14">
        <v>4.58</v>
      </c>
      <c r="BC14">
        <v>0</v>
      </c>
      <c r="BD14">
        <v>4.46</v>
      </c>
      <c r="BE14">
        <v>44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20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8991</v>
      </c>
      <c r="BY14">
        <v>0</v>
      </c>
      <c r="BZ14">
        <v>0</v>
      </c>
      <c r="CA14">
        <v>0</v>
      </c>
      <c r="CB14">
        <v>0</v>
      </c>
      <c r="CC14">
        <v>2.2000000000000002</v>
      </c>
      <c r="CD14">
        <v>2.9</v>
      </c>
      <c r="CE14">
        <v>3.4</v>
      </c>
      <c r="CF14">
        <v>2.83</v>
      </c>
      <c r="CG14">
        <v>1.6666666666666601</v>
      </c>
      <c r="CH14">
        <v>2.6666666666666599</v>
      </c>
      <c r="CI14">
        <v>3.3333333333333299</v>
      </c>
      <c r="CJ14">
        <v>3.8333333333333299</v>
      </c>
      <c r="CK14">
        <v>1.7</v>
      </c>
      <c r="CL14">
        <v>0</v>
      </c>
      <c r="CM14">
        <v>0</v>
      </c>
      <c r="CN14">
        <v>20</v>
      </c>
      <c r="CO14">
        <v>27</v>
      </c>
      <c r="CP14">
        <v>6</v>
      </c>
      <c r="CQ14">
        <v>0.66666666666666596</v>
      </c>
      <c r="CR14">
        <v>25</v>
      </c>
      <c r="CS14">
        <v>41</v>
      </c>
      <c r="CT14">
        <v>56</v>
      </c>
      <c r="CU14" s="1">
        <v>23</v>
      </c>
      <c r="CV14" s="1">
        <v>34</v>
      </c>
      <c r="CW14">
        <v>48</v>
      </c>
      <c r="CX14">
        <v>58</v>
      </c>
      <c r="CY14">
        <v>42</v>
      </c>
      <c r="CZ14">
        <v>60</v>
      </c>
      <c r="DA14">
        <v>29</v>
      </c>
      <c r="DB14">
        <v>60</v>
      </c>
      <c r="DC14">
        <v>0</v>
      </c>
      <c r="DD14">
        <v>0</v>
      </c>
      <c r="DE14">
        <v>5</v>
      </c>
      <c r="DF14">
        <v>1</v>
      </c>
      <c r="DG14">
        <v>45106</v>
      </c>
      <c r="DH14">
        <v>32284</v>
      </c>
      <c r="DI14">
        <v>35.11</v>
      </c>
      <c r="DJ14" t="s">
        <v>133</v>
      </c>
      <c r="DK14" t="s">
        <v>133</v>
      </c>
      <c r="DL14">
        <v>8</v>
      </c>
      <c r="DM14">
        <v>5</v>
      </c>
      <c r="DN14">
        <v>4</v>
      </c>
      <c r="DO14">
        <v>6</v>
      </c>
      <c r="DP14">
        <v>26</v>
      </c>
      <c r="DQ14">
        <v>2.5</v>
      </c>
      <c r="DR14">
        <v>12</v>
      </c>
      <c r="DS14">
        <v>999</v>
      </c>
      <c r="DT14">
        <v>7</v>
      </c>
      <c r="DU14">
        <v>0</v>
      </c>
      <c r="DV14">
        <v>999</v>
      </c>
      <c r="DW14">
        <v>12</v>
      </c>
      <c r="DY14">
        <v>5</v>
      </c>
      <c r="DZ14">
        <v>0</v>
      </c>
      <c r="EA14">
        <v>3</v>
      </c>
      <c r="EB14">
        <v>5</v>
      </c>
      <c r="EC14" t="s">
        <v>133</v>
      </c>
      <c r="ED14" t="s">
        <v>133</v>
      </c>
      <c r="EE14" t="s">
        <v>133</v>
      </c>
      <c r="EF14" t="s">
        <v>133</v>
      </c>
      <c r="EG14">
        <v>19468</v>
      </c>
      <c r="EH14">
        <v>3</v>
      </c>
      <c r="EI14">
        <v>0</v>
      </c>
      <c r="EJ14" t="s">
        <v>133</v>
      </c>
      <c r="EK14" t="s">
        <v>133</v>
      </c>
      <c r="EL14" t="s">
        <v>133</v>
      </c>
      <c r="EM14" t="s">
        <v>133</v>
      </c>
      <c r="EN14" t="s">
        <v>133</v>
      </c>
      <c r="EO14" t="s">
        <v>133</v>
      </c>
      <c r="EP14" t="s">
        <v>133</v>
      </c>
      <c r="EQ14" t="s">
        <v>133</v>
      </c>
      <c r="ER14" t="s">
        <v>133</v>
      </c>
      <c r="ES14" t="s">
        <v>133</v>
      </c>
    </row>
    <row r="15" spans="1:149" x14ac:dyDescent="0.2">
      <c r="A15">
        <v>10590</v>
      </c>
      <c r="B15">
        <v>56.4</v>
      </c>
      <c r="C15">
        <f t="shared" si="0"/>
        <v>13.347586206896551</v>
      </c>
      <c r="D15">
        <v>2.9</v>
      </c>
      <c r="E15">
        <f t="shared" si="1"/>
        <v>-0.17931034482758612</v>
      </c>
      <c r="F15">
        <v>0</v>
      </c>
      <c r="G15">
        <f t="shared" si="2"/>
        <v>-7.431034482758621</v>
      </c>
      <c r="H15">
        <v>4.1666666666666599</v>
      </c>
      <c r="I15">
        <f t="shared" si="3"/>
        <v>-2.3933602853745528</v>
      </c>
      <c r="J15">
        <f t="shared" si="4"/>
        <v>-99.186373365041618</v>
      </c>
      <c r="K15">
        <f t="shared" si="5"/>
        <v>1.3324613555291314</v>
      </c>
      <c r="L15">
        <f t="shared" si="6"/>
        <v>17.785142810283315</v>
      </c>
      <c r="M15">
        <v>30467</v>
      </c>
      <c r="N15">
        <v>2.2222219999999999</v>
      </c>
      <c r="O15">
        <v>3.5</v>
      </c>
      <c r="P15">
        <v>3.0769229999999999</v>
      </c>
      <c r="Q15">
        <v>4.3333329999999997</v>
      </c>
      <c r="R15">
        <v>5.8571429999999998</v>
      </c>
      <c r="S15">
        <v>6.1666670000000003</v>
      </c>
      <c r="T15" t="s">
        <v>131</v>
      </c>
      <c r="U15" t="s">
        <v>132</v>
      </c>
      <c r="V15">
        <v>4.5599999999999996</v>
      </c>
      <c r="W15">
        <v>4.2</v>
      </c>
      <c r="X15">
        <v>1</v>
      </c>
      <c r="Y15">
        <v>2</v>
      </c>
      <c r="Z15">
        <v>0</v>
      </c>
      <c r="AA15">
        <v>6.67</v>
      </c>
      <c r="AB15">
        <v>4.33</v>
      </c>
      <c r="AC15">
        <v>4.5</v>
      </c>
      <c r="AD15">
        <v>5.67</v>
      </c>
      <c r="AE15">
        <v>5.23</v>
      </c>
      <c r="AF15">
        <v>17</v>
      </c>
      <c r="AG15">
        <v>2</v>
      </c>
      <c r="AH15">
        <v>5</v>
      </c>
      <c r="AI15">
        <v>1</v>
      </c>
      <c r="AJ15">
        <v>9</v>
      </c>
      <c r="AK15">
        <v>3</v>
      </c>
      <c r="AL15">
        <v>5</v>
      </c>
      <c r="AM15">
        <v>3</v>
      </c>
      <c r="AN15">
        <v>3</v>
      </c>
      <c r="AO15">
        <v>0</v>
      </c>
      <c r="AP15">
        <v>14</v>
      </c>
      <c r="AQ15">
        <v>32</v>
      </c>
      <c r="AR15">
        <v>10</v>
      </c>
      <c r="AS15">
        <v>0</v>
      </c>
      <c r="AT15">
        <v>0</v>
      </c>
      <c r="AU15">
        <v>6.75</v>
      </c>
      <c r="AV15">
        <v>7</v>
      </c>
      <c r="AW15">
        <v>6.25</v>
      </c>
      <c r="AX15">
        <v>7</v>
      </c>
      <c r="AZ15">
        <v>12</v>
      </c>
      <c r="BA15">
        <v>3.67</v>
      </c>
      <c r="BC15">
        <v>3</v>
      </c>
      <c r="BD15">
        <v>3.86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20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8991</v>
      </c>
      <c r="BY15">
        <v>0</v>
      </c>
      <c r="BZ15">
        <v>0</v>
      </c>
      <c r="CA15">
        <v>0</v>
      </c>
      <c r="CB15">
        <v>0</v>
      </c>
      <c r="CC15">
        <v>3.2</v>
      </c>
      <c r="CD15">
        <v>3.7</v>
      </c>
      <c r="CE15">
        <v>3.9</v>
      </c>
      <c r="CF15">
        <v>3.6</v>
      </c>
      <c r="CG15">
        <v>6</v>
      </c>
      <c r="CH15">
        <v>5.6666666666666599</v>
      </c>
      <c r="CI15">
        <v>6</v>
      </c>
      <c r="CJ15">
        <v>5.6666666666666599</v>
      </c>
      <c r="CK15">
        <v>0.55000000000000004</v>
      </c>
      <c r="CL15">
        <v>0</v>
      </c>
      <c r="CM15">
        <v>0</v>
      </c>
      <c r="CN15">
        <v>27</v>
      </c>
      <c r="CO15">
        <v>0</v>
      </c>
      <c r="CP15">
        <v>7</v>
      </c>
      <c r="CQ15">
        <v>0.63636363636363602</v>
      </c>
      <c r="CR15">
        <v>34</v>
      </c>
      <c r="CS15">
        <v>53</v>
      </c>
      <c r="CT15">
        <v>54</v>
      </c>
      <c r="CU15" s="1">
        <v>31</v>
      </c>
      <c r="CV15" s="1">
        <v>33</v>
      </c>
      <c r="CW15">
        <v>48</v>
      </c>
      <c r="CX15">
        <v>60</v>
      </c>
      <c r="CY15">
        <v>47</v>
      </c>
      <c r="CZ15">
        <v>60</v>
      </c>
      <c r="DA15">
        <v>48</v>
      </c>
      <c r="DB15">
        <v>60</v>
      </c>
      <c r="DC15">
        <v>0</v>
      </c>
      <c r="DD15">
        <v>0</v>
      </c>
      <c r="DE15">
        <v>4</v>
      </c>
      <c r="DF15">
        <v>1</v>
      </c>
      <c r="DG15">
        <v>45000</v>
      </c>
      <c r="DH15">
        <v>24498</v>
      </c>
      <c r="DI15">
        <v>56.13</v>
      </c>
      <c r="DJ15">
        <v>4</v>
      </c>
      <c r="DK15">
        <v>1</v>
      </c>
      <c r="DL15">
        <v>0</v>
      </c>
      <c r="DM15">
        <v>0</v>
      </c>
      <c r="DN15">
        <v>0</v>
      </c>
      <c r="DO15">
        <v>4</v>
      </c>
      <c r="DP15">
        <v>0</v>
      </c>
      <c r="DQ15">
        <v>2.6111111111111098</v>
      </c>
      <c r="DR15">
        <v>10</v>
      </c>
      <c r="DS15">
        <v>999</v>
      </c>
      <c r="DT15">
        <v>7</v>
      </c>
      <c r="DU15">
        <v>1</v>
      </c>
      <c r="DV15">
        <v>999</v>
      </c>
      <c r="DW15">
        <v>8</v>
      </c>
      <c r="DY15">
        <v>6</v>
      </c>
      <c r="DZ15">
        <v>4</v>
      </c>
      <c r="EA15">
        <v>6</v>
      </c>
      <c r="EB15">
        <v>6</v>
      </c>
      <c r="EC15" t="s">
        <v>133</v>
      </c>
      <c r="ED15" t="s">
        <v>133</v>
      </c>
      <c r="EE15" t="s">
        <v>133</v>
      </c>
      <c r="EF15">
        <v>2</v>
      </c>
      <c r="EG15">
        <v>21701</v>
      </c>
      <c r="EH15">
        <v>6</v>
      </c>
      <c r="EI15">
        <v>0</v>
      </c>
      <c r="EJ15" t="s">
        <v>133</v>
      </c>
      <c r="EK15" t="s">
        <v>133</v>
      </c>
      <c r="EL15" t="s">
        <v>133</v>
      </c>
      <c r="EM15" t="s">
        <v>133</v>
      </c>
      <c r="EN15" t="s">
        <v>133</v>
      </c>
      <c r="EO15" t="s">
        <v>133</v>
      </c>
      <c r="EP15" t="s">
        <v>133</v>
      </c>
      <c r="EQ15" t="s">
        <v>133</v>
      </c>
      <c r="ER15">
        <v>0</v>
      </c>
      <c r="ES15" t="s">
        <v>133</v>
      </c>
    </row>
    <row r="16" spans="1:149" x14ac:dyDescent="0.2">
      <c r="A16">
        <v>10596</v>
      </c>
      <c r="B16">
        <v>27.27</v>
      </c>
      <c r="C16">
        <f t="shared" si="0"/>
        <v>-15.782413793103448</v>
      </c>
      <c r="D16">
        <v>3.6</v>
      </c>
      <c r="E16">
        <f t="shared" si="1"/>
        <v>0.52068965517241406</v>
      </c>
      <c r="F16">
        <v>13</v>
      </c>
      <c r="G16">
        <f t="shared" si="2"/>
        <v>5.568965517241379</v>
      </c>
      <c r="H16">
        <v>4.3333333333333304</v>
      </c>
      <c r="I16">
        <f t="shared" si="3"/>
        <v>-8.2177395957193848</v>
      </c>
      <c r="J16">
        <f t="shared" si="4"/>
        <v>-87.89171819262782</v>
      </c>
      <c r="K16">
        <f t="shared" si="5"/>
        <v>2.8997027348394782</v>
      </c>
      <c r="L16">
        <f t="shared" si="6"/>
        <v>-45.764308438230366</v>
      </c>
      <c r="M16">
        <v>130995</v>
      </c>
      <c r="N16">
        <v>3.2727270000000002</v>
      </c>
      <c r="O16">
        <v>5.25</v>
      </c>
      <c r="P16">
        <v>5.0769229999999999</v>
      </c>
      <c r="Q16">
        <v>6.1428570000000002</v>
      </c>
      <c r="R16">
        <v>6.461538</v>
      </c>
      <c r="S16">
        <v>5.1428570000000002</v>
      </c>
      <c r="T16" t="s">
        <v>131</v>
      </c>
      <c r="U16" t="s">
        <v>132</v>
      </c>
      <c r="V16">
        <v>3.67</v>
      </c>
      <c r="W16">
        <v>2.89</v>
      </c>
      <c r="X16">
        <v>8</v>
      </c>
      <c r="Y16">
        <v>13</v>
      </c>
      <c r="Z16">
        <v>0</v>
      </c>
      <c r="AA16">
        <v>4.5</v>
      </c>
      <c r="AB16">
        <v>4.17</v>
      </c>
      <c r="AC16">
        <v>4.25</v>
      </c>
      <c r="AD16">
        <v>4.83</v>
      </c>
      <c r="AE16">
        <v>4.43</v>
      </c>
      <c r="AF16">
        <v>35</v>
      </c>
      <c r="AG16">
        <v>17</v>
      </c>
      <c r="AH16">
        <v>15</v>
      </c>
      <c r="AI16">
        <v>3</v>
      </c>
      <c r="AJ16">
        <v>0</v>
      </c>
      <c r="AK16">
        <v>0</v>
      </c>
      <c r="AL16">
        <v>5</v>
      </c>
      <c r="AM16">
        <v>3</v>
      </c>
      <c r="AN16">
        <v>3</v>
      </c>
      <c r="AO16">
        <v>2</v>
      </c>
      <c r="AP16">
        <v>13</v>
      </c>
      <c r="AQ16">
        <v>24</v>
      </c>
      <c r="AR16">
        <v>14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Z16">
        <v>12</v>
      </c>
      <c r="BA16">
        <v>3.17</v>
      </c>
      <c r="BC16">
        <v>0</v>
      </c>
      <c r="BD16">
        <v>3.57</v>
      </c>
      <c r="BE16">
        <v>50.1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20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8991</v>
      </c>
      <c r="BY16">
        <v>0</v>
      </c>
      <c r="BZ16">
        <v>0</v>
      </c>
      <c r="CA16">
        <v>0</v>
      </c>
      <c r="CB16">
        <v>0</v>
      </c>
      <c r="CC16">
        <v>2.9</v>
      </c>
      <c r="CD16">
        <v>3.8</v>
      </c>
      <c r="CE16">
        <v>3.5</v>
      </c>
      <c r="CF16">
        <v>3.4</v>
      </c>
      <c r="CG16">
        <v>2.6666666666666599</v>
      </c>
      <c r="CH16">
        <v>2.6666666666666599</v>
      </c>
      <c r="CI16">
        <v>2.6666666666666599</v>
      </c>
      <c r="CJ16">
        <v>1.8333333333333299</v>
      </c>
      <c r="CK16">
        <v>2.15</v>
      </c>
      <c r="CL16">
        <v>0</v>
      </c>
      <c r="CM16">
        <v>0</v>
      </c>
      <c r="CN16">
        <v>24</v>
      </c>
      <c r="CO16">
        <v>20</v>
      </c>
      <c r="CP16">
        <v>9</v>
      </c>
      <c r="CQ16">
        <v>0.81818181818181801</v>
      </c>
      <c r="CR16">
        <v>31</v>
      </c>
      <c r="CS16">
        <v>31</v>
      </c>
      <c r="CT16">
        <v>52</v>
      </c>
      <c r="CU16" s="1">
        <v>24</v>
      </c>
      <c r="CV16" s="1">
        <v>37</v>
      </c>
      <c r="CW16">
        <v>48</v>
      </c>
      <c r="CX16">
        <v>54</v>
      </c>
      <c r="CY16">
        <v>47</v>
      </c>
      <c r="CZ16">
        <v>60</v>
      </c>
      <c r="DA16">
        <v>29</v>
      </c>
      <c r="DB16">
        <v>60</v>
      </c>
      <c r="DC16">
        <v>0</v>
      </c>
      <c r="DD16">
        <v>0</v>
      </c>
      <c r="DE16">
        <v>4</v>
      </c>
      <c r="DF16">
        <v>1</v>
      </c>
      <c r="DG16">
        <v>45106</v>
      </c>
      <c r="DH16">
        <v>35004</v>
      </c>
      <c r="DI16">
        <v>27.66</v>
      </c>
      <c r="DJ16" t="s">
        <v>133</v>
      </c>
      <c r="DK16" t="s">
        <v>133</v>
      </c>
      <c r="DL16">
        <v>0</v>
      </c>
      <c r="DM16">
        <v>0</v>
      </c>
      <c r="DN16">
        <v>3</v>
      </c>
      <c r="DO16" t="s">
        <v>133</v>
      </c>
      <c r="DP16">
        <v>26</v>
      </c>
      <c r="DQ16">
        <v>2.0555555555556002</v>
      </c>
      <c r="DR16">
        <v>6</v>
      </c>
      <c r="DS16">
        <v>999</v>
      </c>
      <c r="DT16">
        <v>4</v>
      </c>
      <c r="DU16">
        <v>4</v>
      </c>
      <c r="DV16">
        <v>999</v>
      </c>
      <c r="DW16">
        <v>11</v>
      </c>
      <c r="DY16">
        <v>4</v>
      </c>
      <c r="DZ16">
        <v>1</v>
      </c>
      <c r="EA16">
        <v>2</v>
      </c>
      <c r="EB16">
        <v>4</v>
      </c>
      <c r="EC16" t="s">
        <v>133</v>
      </c>
      <c r="ED16" t="s">
        <v>133</v>
      </c>
      <c r="EE16" t="s">
        <v>133</v>
      </c>
      <c r="EF16" t="s">
        <v>133</v>
      </c>
      <c r="EG16" t="s">
        <v>133</v>
      </c>
      <c r="EH16">
        <v>2</v>
      </c>
      <c r="EI16">
        <v>1</v>
      </c>
      <c r="EJ16" t="s">
        <v>133</v>
      </c>
      <c r="EK16" t="s">
        <v>133</v>
      </c>
      <c r="EL16" t="s">
        <v>133</v>
      </c>
      <c r="EM16" t="s">
        <v>133</v>
      </c>
      <c r="EN16" t="s">
        <v>133</v>
      </c>
      <c r="EO16" t="s">
        <v>133</v>
      </c>
      <c r="EP16" t="s">
        <v>133</v>
      </c>
      <c r="EQ16" t="s">
        <v>133</v>
      </c>
      <c r="ER16" t="s">
        <v>133</v>
      </c>
      <c r="ES16" t="s">
        <v>133</v>
      </c>
    </row>
    <row r="17" spans="1:149" x14ac:dyDescent="0.2">
      <c r="A17">
        <v>10603</v>
      </c>
      <c r="B17">
        <v>69.22</v>
      </c>
      <c r="C17">
        <f t="shared" si="0"/>
        <v>26.167586206896551</v>
      </c>
      <c r="D17">
        <v>2.4</v>
      </c>
      <c r="E17">
        <f t="shared" si="1"/>
        <v>-0.67931034482758612</v>
      </c>
      <c r="F17">
        <v>0</v>
      </c>
      <c r="G17">
        <f t="shared" si="2"/>
        <v>-7.431034482758621</v>
      </c>
      <c r="H17">
        <v>4.1666666666666599</v>
      </c>
      <c r="I17">
        <f t="shared" si="3"/>
        <v>-17.775912009512481</v>
      </c>
      <c r="J17">
        <f t="shared" si="4"/>
        <v>-194.45223543400715</v>
      </c>
      <c r="K17">
        <f t="shared" si="5"/>
        <v>5.0479785969084423</v>
      </c>
      <c r="L17">
        <f t="shared" si="6"/>
        <v>132.09341510517035</v>
      </c>
      <c r="M17">
        <v>31853</v>
      </c>
      <c r="N17">
        <v>4.5</v>
      </c>
      <c r="O17">
        <v>4.5</v>
      </c>
      <c r="P17">
        <v>3.2</v>
      </c>
      <c r="Q17">
        <v>3</v>
      </c>
      <c r="R17">
        <v>5.5</v>
      </c>
      <c r="S17">
        <v>5</v>
      </c>
      <c r="T17" t="s">
        <v>135</v>
      </c>
      <c r="U17" t="s">
        <v>132</v>
      </c>
      <c r="V17">
        <v>3.56</v>
      </c>
      <c r="W17">
        <v>3</v>
      </c>
      <c r="X17">
        <v>5</v>
      </c>
      <c r="Y17">
        <v>0</v>
      </c>
      <c r="Z17">
        <v>0</v>
      </c>
      <c r="AA17">
        <v>7</v>
      </c>
      <c r="AB17">
        <v>6.5</v>
      </c>
      <c r="AC17">
        <v>6.88</v>
      </c>
      <c r="AD17">
        <v>5.17</v>
      </c>
      <c r="AE17">
        <v>6.37</v>
      </c>
      <c r="AF17">
        <v>1</v>
      </c>
      <c r="AG17">
        <v>0</v>
      </c>
      <c r="AH17">
        <v>1</v>
      </c>
      <c r="AI17">
        <v>0</v>
      </c>
      <c r="AJ17">
        <v>0</v>
      </c>
      <c r="AK17">
        <v>3</v>
      </c>
      <c r="AL17">
        <v>2</v>
      </c>
      <c r="AM17">
        <v>2</v>
      </c>
      <c r="AN17">
        <v>2</v>
      </c>
      <c r="AO17">
        <v>3</v>
      </c>
      <c r="AP17">
        <v>12</v>
      </c>
      <c r="AQ17">
        <v>30</v>
      </c>
      <c r="AR17">
        <v>11</v>
      </c>
      <c r="AS17">
        <v>0</v>
      </c>
      <c r="AT17">
        <v>0</v>
      </c>
      <c r="AU17">
        <v>4.08</v>
      </c>
      <c r="AV17">
        <v>5</v>
      </c>
      <c r="AW17">
        <v>2</v>
      </c>
      <c r="AX17">
        <v>5.25</v>
      </c>
      <c r="AZ17">
        <v>11</v>
      </c>
      <c r="BA17">
        <v>1.42</v>
      </c>
      <c r="BC17">
        <v>0</v>
      </c>
      <c r="BD17">
        <v>1.54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20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8991</v>
      </c>
      <c r="BY17">
        <v>0</v>
      </c>
      <c r="BZ17">
        <v>0</v>
      </c>
      <c r="CA17">
        <v>0</v>
      </c>
      <c r="CB17">
        <v>0</v>
      </c>
      <c r="CC17">
        <v>3.4</v>
      </c>
      <c r="CD17">
        <v>3.7</v>
      </c>
      <c r="CE17">
        <v>3.7</v>
      </c>
      <c r="CF17">
        <v>3.6</v>
      </c>
      <c r="CG17">
        <v>6</v>
      </c>
      <c r="CH17">
        <v>6</v>
      </c>
      <c r="CI17">
        <v>6</v>
      </c>
      <c r="CJ17">
        <v>6</v>
      </c>
      <c r="CK17">
        <v>1.65</v>
      </c>
      <c r="CL17">
        <v>0</v>
      </c>
      <c r="CM17">
        <v>0</v>
      </c>
      <c r="CN17">
        <v>27</v>
      </c>
      <c r="CO17">
        <v>25</v>
      </c>
      <c r="CP17">
        <v>9</v>
      </c>
      <c r="CQ17">
        <v>0.9</v>
      </c>
      <c r="CR17">
        <v>36</v>
      </c>
      <c r="CS17">
        <v>24</v>
      </c>
      <c r="CT17">
        <v>42</v>
      </c>
      <c r="CU17" s="1">
        <v>27</v>
      </c>
      <c r="CV17" s="1">
        <v>32</v>
      </c>
      <c r="CW17">
        <v>42</v>
      </c>
      <c r="CX17">
        <v>60</v>
      </c>
      <c r="CY17">
        <v>43</v>
      </c>
      <c r="CZ17">
        <v>60</v>
      </c>
      <c r="DA17">
        <v>37</v>
      </c>
      <c r="DB17">
        <v>60</v>
      </c>
      <c r="DC17">
        <v>0</v>
      </c>
      <c r="DD17">
        <v>0</v>
      </c>
      <c r="DE17">
        <v>7</v>
      </c>
      <c r="DF17">
        <v>1</v>
      </c>
      <c r="DG17">
        <v>45034</v>
      </c>
      <c r="DH17">
        <v>19676</v>
      </c>
      <c r="DI17">
        <v>69.430000000000007</v>
      </c>
      <c r="DJ17" t="s">
        <v>133</v>
      </c>
      <c r="DK17" t="s">
        <v>133</v>
      </c>
      <c r="DL17">
        <v>0</v>
      </c>
      <c r="DM17">
        <v>0</v>
      </c>
      <c r="DN17">
        <v>0</v>
      </c>
      <c r="DO17" t="s">
        <v>133</v>
      </c>
      <c r="DP17">
        <v>28</v>
      </c>
      <c r="DQ17">
        <v>2.5555555555556002</v>
      </c>
      <c r="DR17">
        <v>12</v>
      </c>
      <c r="DS17">
        <v>999</v>
      </c>
      <c r="DT17">
        <v>5</v>
      </c>
      <c r="DU17">
        <v>0</v>
      </c>
      <c r="DV17">
        <v>999</v>
      </c>
      <c r="DW17">
        <v>9</v>
      </c>
      <c r="DY17">
        <v>4</v>
      </c>
      <c r="DZ17">
        <v>0</v>
      </c>
      <c r="EA17">
        <v>8</v>
      </c>
      <c r="EB17">
        <v>4</v>
      </c>
      <c r="EC17" t="s">
        <v>133</v>
      </c>
      <c r="ED17" t="s">
        <v>133</v>
      </c>
      <c r="EE17" t="s">
        <v>133</v>
      </c>
      <c r="EF17" t="s">
        <v>133</v>
      </c>
      <c r="EG17">
        <v>19133</v>
      </c>
      <c r="EH17">
        <v>8</v>
      </c>
      <c r="EI17">
        <v>1</v>
      </c>
      <c r="EJ17" t="s">
        <v>133</v>
      </c>
      <c r="EK17" t="s">
        <v>133</v>
      </c>
      <c r="EL17" t="s">
        <v>133</v>
      </c>
      <c r="EM17" t="s">
        <v>133</v>
      </c>
      <c r="EN17" t="s">
        <v>133</v>
      </c>
      <c r="EO17" t="s">
        <v>133</v>
      </c>
      <c r="EP17" t="s">
        <v>133</v>
      </c>
      <c r="EQ17" t="s">
        <v>133</v>
      </c>
      <c r="ER17">
        <v>0</v>
      </c>
      <c r="ES17" t="s">
        <v>133</v>
      </c>
    </row>
    <row r="18" spans="1:149" x14ac:dyDescent="0.2">
      <c r="A18">
        <v>10606</v>
      </c>
      <c r="B18">
        <v>22.4</v>
      </c>
      <c r="C18">
        <f t="shared" si="0"/>
        <v>-20.652413793103449</v>
      </c>
      <c r="D18">
        <v>3.2</v>
      </c>
      <c r="E18">
        <f t="shared" si="1"/>
        <v>0.12068965517241415</v>
      </c>
      <c r="F18">
        <v>0</v>
      </c>
      <c r="G18">
        <f t="shared" si="2"/>
        <v>-7.431034482758621</v>
      </c>
      <c r="H18">
        <v>3.9166666666666599</v>
      </c>
      <c r="I18">
        <f t="shared" si="3"/>
        <v>-2.4925326991676648</v>
      </c>
      <c r="J18">
        <f t="shared" si="4"/>
        <v>153.46879904875149</v>
      </c>
      <c r="K18">
        <f t="shared" si="5"/>
        <v>-0.89684898929845691</v>
      </c>
      <c r="L18">
        <f t="shared" si="6"/>
        <v>18.522096436918339</v>
      </c>
      <c r="M18">
        <v>51200</v>
      </c>
      <c r="N18">
        <v>5.3846150000000002</v>
      </c>
      <c r="O18">
        <v>6.1666670000000003</v>
      </c>
      <c r="P18">
        <v>5.2307689999999996</v>
      </c>
      <c r="Q18">
        <v>6</v>
      </c>
      <c r="R18">
        <v>6.3076920000000003</v>
      </c>
      <c r="S18">
        <v>5.5714290000000002</v>
      </c>
      <c r="T18" t="s">
        <v>131</v>
      </c>
      <c r="U18" t="s">
        <v>132</v>
      </c>
      <c r="V18">
        <v>3.89</v>
      </c>
      <c r="W18">
        <v>3.56</v>
      </c>
      <c r="X18">
        <v>0</v>
      </c>
      <c r="Y18">
        <v>0</v>
      </c>
      <c r="Z18">
        <v>0</v>
      </c>
      <c r="AA18">
        <v>7</v>
      </c>
      <c r="AB18">
        <v>5.33</v>
      </c>
      <c r="AC18">
        <v>6.13</v>
      </c>
      <c r="AD18">
        <v>4.17</v>
      </c>
      <c r="AE18">
        <v>5.73</v>
      </c>
      <c r="AF18">
        <v>7</v>
      </c>
      <c r="AG18">
        <v>4</v>
      </c>
      <c r="AH18">
        <v>1</v>
      </c>
      <c r="AI18">
        <v>1</v>
      </c>
      <c r="AJ18">
        <v>1</v>
      </c>
      <c r="AK18">
        <v>2</v>
      </c>
      <c r="AL18">
        <v>5</v>
      </c>
      <c r="AM18">
        <v>6</v>
      </c>
      <c r="AN18">
        <v>2</v>
      </c>
      <c r="AO18">
        <v>0</v>
      </c>
      <c r="AP18">
        <v>15</v>
      </c>
      <c r="AQ18">
        <v>23</v>
      </c>
      <c r="AR18">
        <v>11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Z18">
        <v>6</v>
      </c>
      <c r="BA18">
        <v>1.58</v>
      </c>
      <c r="BC18">
        <v>0</v>
      </c>
      <c r="BD18">
        <v>2.77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20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8991</v>
      </c>
      <c r="BY18">
        <v>0</v>
      </c>
      <c r="BZ18">
        <v>0</v>
      </c>
      <c r="CA18">
        <v>0</v>
      </c>
      <c r="CB18">
        <v>0</v>
      </c>
      <c r="CC18">
        <v>3.6</v>
      </c>
      <c r="CD18">
        <v>4.2</v>
      </c>
      <c r="CE18">
        <v>3.6</v>
      </c>
      <c r="CF18">
        <v>3.8</v>
      </c>
      <c r="CG18">
        <v>6</v>
      </c>
      <c r="CH18">
        <v>5.1666666666666599</v>
      </c>
      <c r="CI18">
        <v>6</v>
      </c>
      <c r="CJ18">
        <v>5.1666666666666599</v>
      </c>
      <c r="CK18">
        <v>0</v>
      </c>
      <c r="CL18">
        <v>0</v>
      </c>
      <c r="CM18">
        <v>0</v>
      </c>
      <c r="CN18">
        <v>33</v>
      </c>
      <c r="CO18">
        <v>20</v>
      </c>
      <c r="CP18">
        <v>0</v>
      </c>
      <c r="CQ18">
        <v>0</v>
      </c>
      <c r="CR18">
        <v>32</v>
      </c>
      <c r="CS18">
        <v>42</v>
      </c>
      <c r="CT18">
        <v>55</v>
      </c>
      <c r="CU18" s="1">
        <v>21</v>
      </c>
      <c r="CV18" s="1">
        <v>38</v>
      </c>
      <c r="CW18">
        <v>48</v>
      </c>
      <c r="CX18">
        <v>0</v>
      </c>
      <c r="CY18">
        <v>48</v>
      </c>
      <c r="CZ18">
        <v>56</v>
      </c>
      <c r="DA18">
        <v>48</v>
      </c>
      <c r="DB18">
        <v>60</v>
      </c>
      <c r="DC18">
        <v>0</v>
      </c>
      <c r="DD18">
        <v>0</v>
      </c>
      <c r="DE18">
        <v>5</v>
      </c>
      <c r="DF18">
        <v>1</v>
      </c>
      <c r="DG18">
        <v>45106</v>
      </c>
      <c r="DH18">
        <v>36779</v>
      </c>
      <c r="DI18">
        <v>22.8</v>
      </c>
      <c r="DJ18" t="s">
        <v>133</v>
      </c>
      <c r="DK18" t="s">
        <v>133</v>
      </c>
      <c r="DL18">
        <v>0</v>
      </c>
      <c r="DM18">
        <v>0</v>
      </c>
      <c r="DN18">
        <v>1</v>
      </c>
      <c r="DO18" t="s">
        <v>133</v>
      </c>
      <c r="DP18">
        <v>28</v>
      </c>
      <c r="DQ18">
        <v>2.2777777777777999</v>
      </c>
      <c r="DR18">
        <v>8</v>
      </c>
      <c r="DS18">
        <v>999</v>
      </c>
      <c r="DT18">
        <v>6</v>
      </c>
      <c r="DU18">
        <v>2</v>
      </c>
      <c r="DV18">
        <v>999</v>
      </c>
      <c r="DW18">
        <v>11</v>
      </c>
      <c r="DY18">
        <v>5</v>
      </c>
      <c r="DZ18">
        <v>4</v>
      </c>
      <c r="EA18">
        <v>6</v>
      </c>
      <c r="EB18">
        <v>5</v>
      </c>
      <c r="EC18" t="s">
        <v>133</v>
      </c>
      <c r="ED18" t="s">
        <v>133</v>
      </c>
      <c r="EE18" t="s">
        <v>133</v>
      </c>
      <c r="EF18">
        <v>3</v>
      </c>
      <c r="EG18">
        <v>8077</v>
      </c>
      <c r="EH18">
        <v>6</v>
      </c>
      <c r="EI18">
        <v>1</v>
      </c>
      <c r="EJ18" t="s">
        <v>133</v>
      </c>
      <c r="EK18" t="s">
        <v>133</v>
      </c>
      <c r="EL18" t="s">
        <v>133</v>
      </c>
      <c r="EM18" t="s">
        <v>133</v>
      </c>
      <c r="EN18" t="s">
        <v>133</v>
      </c>
      <c r="EO18" t="s">
        <v>133</v>
      </c>
      <c r="EP18" t="s">
        <v>133</v>
      </c>
      <c r="EQ18" t="s">
        <v>133</v>
      </c>
      <c r="ER18" t="s">
        <v>133</v>
      </c>
      <c r="ES18" t="s">
        <v>133</v>
      </c>
    </row>
    <row r="19" spans="1:149" x14ac:dyDescent="0.2">
      <c r="A19">
        <v>10608</v>
      </c>
      <c r="B19">
        <v>29.07</v>
      </c>
      <c r="C19">
        <f t="shared" si="0"/>
        <v>-13.982413793103447</v>
      </c>
      <c r="D19">
        <v>2.9</v>
      </c>
      <c r="E19">
        <f t="shared" si="1"/>
        <v>-0.17931034482758612</v>
      </c>
      <c r="F19">
        <v>0</v>
      </c>
      <c r="G19">
        <f t="shared" si="2"/>
        <v>-7.431034482758621</v>
      </c>
      <c r="H19">
        <v>3.9166666666666599</v>
      </c>
      <c r="I19">
        <f t="shared" si="3"/>
        <v>2.5071914387633756</v>
      </c>
      <c r="J19">
        <f t="shared" si="4"/>
        <v>103.90379904875148</v>
      </c>
      <c r="K19">
        <f t="shared" si="5"/>
        <v>1.3324613555291314</v>
      </c>
      <c r="L19">
        <f t="shared" si="6"/>
        <v>-18.631026036327842</v>
      </c>
      <c r="M19">
        <v>40594</v>
      </c>
      <c r="N19">
        <v>3</v>
      </c>
      <c r="O19">
        <v>2</v>
      </c>
      <c r="P19">
        <v>2.4</v>
      </c>
      <c r="Q19">
        <v>2.5</v>
      </c>
      <c r="R19">
        <v>6.8571429999999998</v>
      </c>
      <c r="S19">
        <v>4.6666670000000003</v>
      </c>
      <c r="T19" t="s">
        <v>135</v>
      </c>
      <c r="U19" t="s">
        <v>132</v>
      </c>
      <c r="V19">
        <v>3.67</v>
      </c>
      <c r="W19">
        <v>3.11</v>
      </c>
      <c r="X19">
        <v>0</v>
      </c>
      <c r="Y19">
        <v>6</v>
      </c>
      <c r="Z19">
        <v>0</v>
      </c>
      <c r="AA19">
        <v>5.67</v>
      </c>
      <c r="AB19">
        <v>5.33</v>
      </c>
      <c r="AC19">
        <v>5.75</v>
      </c>
      <c r="AD19">
        <v>3.17</v>
      </c>
      <c r="AE19">
        <v>5</v>
      </c>
      <c r="AF19">
        <v>50</v>
      </c>
      <c r="AG19">
        <v>13</v>
      </c>
      <c r="AH19">
        <v>17</v>
      </c>
      <c r="AI19">
        <v>6</v>
      </c>
      <c r="AJ19">
        <v>14</v>
      </c>
      <c r="AK19">
        <v>6</v>
      </c>
      <c r="AL19">
        <v>9</v>
      </c>
      <c r="AM19">
        <v>8</v>
      </c>
      <c r="AN19">
        <v>5</v>
      </c>
      <c r="AO19">
        <v>3</v>
      </c>
      <c r="AP19">
        <v>31</v>
      </c>
      <c r="AQ19">
        <v>32</v>
      </c>
      <c r="AR19">
        <v>10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Z19">
        <v>9</v>
      </c>
      <c r="BA19">
        <v>2.17</v>
      </c>
      <c r="BC19">
        <v>0</v>
      </c>
      <c r="BD19">
        <v>2.06</v>
      </c>
      <c r="BE19">
        <v>18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20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8991</v>
      </c>
      <c r="BY19">
        <v>0</v>
      </c>
      <c r="BZ19">
        <v>0</v>
      </c>
      <c r="CA19">
        <v>0</v>
      </c>
      <c r="CB19">
        <v>0</v>
      </c>
      <c r="CC19">
        <v>3.3</v>
      </c>
      <c r="CD19">
        <v>4</v>
      </c>
      <c r="CE19">
        <v>3.7</v>
      </c>
      <c r="CF19">
        <v>3.67</v>
      </c>
      <c r="CG19">
        <v>2.3333333333333299</v>
      </c>
      <c r="CH19">
        <v>3.5</v>
      </c>
      <c r="CI19">
        <v>3</v>
      </c>
      <c r="CJ19">
        <v>2.6666666666666599</v>
      </c>
      <c r="CK19">
        <v>1.9</v>
      </c>
      <c r="CL19">
        <v>0</v>
      </c>
      <c r="CM19">
        <v>0</v>
      </c>
      <c r="CN19">
        <v>23</v>
      </c>
      <c r="CO19">
        <v>27</v>
      </c>
      <c r="CP19">
        <v>11</v>
      </c>
      <c r="CQ19">
        <v>1.1000000000000001</v>
      </c>
      <c r="CR19">
        <v>34</v>
      </c>
      <c r="CS19">
        <v>28</v>
      </c>
      <c r="CT19">
        <v>31</v>
      </c>
      <c r="CU19" s="1">
        <v>26</v>
      </c>
      <c r="CV19" s="1">
        <v>33</v>
      </c>
      <c r="CW19">
        <v>38</v>
      </c>
      <c r="CX19">
        <v>60</v>
      </c>
      <c r="CY19">
        <v>33</v>
      </c>
      <c r="CZ19">
        <v>60</v>
      </c>
      <c r="DA19">
        <v>39</v>
      </c>
      <c r="DB19">
        <v>60</v>
      </c>
      <c r="DC19">
        <v>0</v>
      </c>
      <c r="DD19">
        <v>0</v>
      </c>
      <c r="DE19">
        <v>4</v>
      </c>
      <c r="DF19">
        <v>1</v>
      </c>
      <c r="DG19">
        <v>45105</v>
      </c>
      <c r="DH19">
        <v>34339</v>
      </c>
      <c r="DI19">
        <v>29.48</v>
      </c>
      <c r="DJ19" t="s">
        <v>133</v>
      </c>
      <c r="DK19" t="s">
        <v>133</v>
      </c>
      <c r="DL19">
        <v>3</v>
      </c>
      <c r="DM19">
        <v>2</v>
      </c>
      <c r="DN19">
        <v>3</v>
      </c>
      <c r="DO19" t="s">
        <v>133</v>
      </c>
      <c r="DP19">
        <v>28</v>
      </c>
      <c r="DQ19">
        <v>2.7777777777777999</v>
      </c>
      <c r="DR19">
        <v>12</v>
      </c>
      <c r="DS19">
        <v>999</v>
      </c>
      <c r="DT19">
        <v>7</v>
      </c>
      <c r="DU19">
        <v>5</v>
      </c>
      <c r="DV19">
        <v>999</v>
      </c>
      <c r="DW19">
        <v>10</v>
      </c>
      <c r="DY19">
        <v>5</v>
      </c>
      <c r="DZ19">
        <v>1</v>
      </c>
      <c r="EA19">
        <v>5</v>
      </c>
      <c r="EB19">
        <v>5</v>
      </c>
      <c r="EC19" t="s">
        <v>133</v>
      </c>
      <c r="ED19" t="s">
        <v>133</v>
      </c>
      <c r="EE19" t="s">
        <v>133</v>
      </c>
      <c r="EF19">
        <v>1</v>
      </c>
      <c r="EG19">
        <v>19120</v>
      </c>
      <c r="EH19">
        <v>5</v>
      </c>
      <c r="EI19">
        <v>1</v>
      </c>
      <c r="EJ19" t="s">
        <v>133</v>
      </c>
      <c r="EK19" t="s">
        <v>133</v>
      </c>
      <c r="EL19" t="s">
        <v>133</v>
      </c>
      <c r="EM19" t="s">
        <v>133</v>
      </c>
      <c r="EN19" t="s">
        <v>133</v>
      </c>
      <c r="EO19" t="s">
        <v>133</v>
      </c>
      <c r="EP19" t="s">
        <v>133</v>
      </c>
      <c r="EQ19" t="s">
        <v>133</v>
      </c>
      <c r="ER19" t="s">
        <v>133</v>
      </c>
      <c r="ES19" t="s">
        <v>133</v>
      </c>
    </row>
    <row r="20" spans="1:149" x14ac:dyDescent="0.2">
      <c r="A20">
        <v>10617</v>
      </c>
      <c r="B20">
        <v>73.400000000000006</v>
      </c>
      <c r="C20">
        <f t="shared" si="0"/>
        <v>30.347586206896558</v>
      </c>
      <c r="D20">
        <v>2.8</v>
      </c>
      <c r="E20">
        <f t="shared" si="1"/>
        <v>-0.27931034482758621</v>
      </c>
      <c r="F20">
        <v>0</v>
      </c>
      <c r="G20">
        <f t="shared" si="2"/>
        <v>-7.431034482758621</v>
      </c>
      <c r="H20">
        <v>5</v>
      </c>
      <c r="I20">
        <f t="shared" si="3"/>
        <v>-8.4763947681331775</v>
      </c>
      <c r="J20">
        <f t="shared" si="4"/>
        <v>-225.51395957193822</v>
      </c>
      <c r="K20">
        <f t="shared" si="5"/>
        <v>2.0755648038049941</v>
      </c>
      <c r="L20">
        <f t="shared" si="6"/>
        <v>62.988381811472408</v>
      </c>
      <c r="M20">
        <v>190349</v>
      </c>
      <c r="N20">
        <v>5.2</v>
      </c>
      <c r="O20">
        <v>3.6</v>
      </c>
      <c r="P20">
        <v>4.6666670000000003</v>
      </c>
      <c r="Q20">
        <v>4.5714290000000002</v>
      </c>
      <c r="R20">
        <v>5.4285709999999998</v>
      </c>
      <c r="S20">
        <v>3.6666669999999999</v>
      </c>
      <c r="T20" t="s">
        <v>131</v>
      </c>
      <c r="U20" t="s">
        <v>132</v>
      </c>
      <c r="V20">
        <v>5</v>
      </c>
      <c r="W20">
        <v>4.3</v>
      </c>
      <c r="X20">
        <v>0</v>
      </c>
      <c r="Y20">
        <v>0</v>
      </c>
      <c r="Z20">
        <v>0</v>
      </c>
      <c r="AA20">
        <v>6.5</v>
      </c>
      <c r="AB20">
        <v>4.33</v>
      </c>
      <c r="AC20">
        <v>6.88</v>
      </c>
      <c r="AD20">
        <v>5.33</v>
      </c>
      <c r="AE20">
        <v>6</v>
      </c>
      <c r="AF20">
        <v>3</v>
      </c>
      <c r="AG20">
        <v>0</v>
      </c>
      <c r="AH20">
        <v>2</v>
      </c>
      <c r="AI20">
        <v>1</v>
      </c>
      <c r="AJ20">
        <v>0</v>
      </c>
      <c r="AK20">
        <v>1</v>
      </c>
      <c r="AL20">
        <v>1</v>
      </c>
      <c r="AM20">
        <v>1</v>
      </c>
      <c r="AN20">
        <v>0</v>
      </c>
      <c r="AO20">
        <v>2</v>
      </c>
      <c r="AP20">
        <v>5</v>
      </c>
      <c r="AQ20">
        <v>36</v>
      </c>
      <c r="AR20">
        <v>13</v>
      </c>
      <c r="AS20">
        <v>0</v>
      </c>
      <c r="AT20">
        <v>0</v>
      </c>
      <c r="AU20">
        <v>7</v>
      </c>
      <c r="AV20">
        <v>7</v>
      </c>
      <c r="AW20">
        <v>7</v>
      </c>
      <c r="AX20">
        <v>7</v>
      </c>
      <c r="AZ20">
        <v>6</v>
      </c>
      <c r="BA20">
        <v>2.33</v>
      </c>
      <c r="BC20">
        <v>4</v>
      </c>
      <c r="BD20">
        <v>9999</v>
      </c>
      <c r="BE20">
        <v>72.099999999999994</v>
      </c>
      <c r="BF20">
        <v>25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81</v>
      </c>
      <c r="BP20">
        <v>61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57</v>
      </c>
      <c r="BW20">
        <v>51</v>
      </c>
      <c r="BX20">
        <v>8991</v>
      </c>
      <c r="BY20">
        <v>0</v>
      </c>
      <c r="BZ20">
        <v>0</v>
      </c>
      <c r="CA20">
        <v>0</v>
      </c>
      <c r="CB20">
        <v>0</v>
      </c>
      <c r="CC20">
        <v>4.2</v>
      </c>
      <c r="CD20">
        <v>4</v>
      </c>
      <c r="CE20">
        <v>4</v>
      </c>
      <c r="CF20">
        <v>4.07</v>
      </c>
      <c r="CG20">
        <v>4</v>
      </c>
      <c r="CH20">
        <v>4</v>
      </c>
      <c r="CI20">
        <v>5.1666666666666599</v>
      </c>
      <c r="CJ20">
        <v>5.3333333333333304</v>
      </c>
      <c r="CK20">
        <v>0.45</v>
      </c>
      <c r="CL20">
        <v>0</v>
      </c>
      <c r="CM20">
        <v>0</v>
      </c>
      <c r="CN20">
        <v>23</v>
      </c>
      <c r="CO20">
        <v>30</v>
      </c>
      <c r="CP20">
        <v>8</v>
      </c>
      <c r="CQ20">
        <v>0.72727272727272696</v>
      </c>
      <c r="CR20">
        <v>31</v>
      </c>
      <c r="CS20">
        <v>40</v>
      </c>
      <c r="CT20">
        <v>42</v>
      </c>
      <c r="CU20" s="1">
        <v>32</v>
      </c>
      <c r="CV20" s="1">
        <v>28</v>
      </c>
      <c r="CW20">
        <v>47</v>
      </c>
      <c r="CX20">
        <v>45</v>
      </c>
      <c r="CY20">
        <v>47</v>
      </c>
      <c r="CZ20">
        <v>41</v>
      </c>
      <c r="DA20">
        <v>48</v>
      </c>
      <c r="DB20">
        <v>48</v>
      </c>
      <c r="DC20">
        <v>0</v>
      </c>
      <c r="DD20">
        <v>0</v>
      </c>
      <c r="DE20">
        <v>6</v>
      </c>
      <c r="DF20">
        <v>2</v>
      </c>
      <c r="DG20">
        <v>45000</v>
      </c>
      <c r="DH20">
        <v>18203</v>
      </c>
      <c r="DI20">
        <v>73.37</v>
      </c>
      <c r="DJ20">
        <v>4</v>
      </c>
      <c r="DK20">
        <v>1</v>
      </c>
      <c r="DL20">
        <v>3</v>
      </c>
      <c r="DM20">
        <v>0</v>
      </c>
      <c r="DN20">
        <v>0</v>
      </c>
      <c r="DO20">
        <v>0</v>
      </c>
      <c r="DP20">
        <v>28</v>
      </c>
      <c r="DQ20">
        <v>2.4444444444444402</v>
      </c>
      <c r="DR20">
        <v>11</v>
      </c>
      <c r="DS20">
        <v>999</v>
      </c>
      <c r="DT20">
        <v>6</v>
      </c>
      <c r="DU20">
        <v>0</v>
      </c>
      <c r="DV20">
        <v>999</v>
      </c>
      <c r="DW20">
        <v>9</v>
      </c>
      <c r="DY20">
        <v>6</v>
      </c>
      <c r="DZ20">
        <v>3</v>
      </c>
      <c r="EA20">
        <v>8</v>
      </c>
      <c r="EB20">
        <v>6</v>
      </c>
      <c r="EC20" t="s">
        <v>133</v>
      </c>
      <c r="ED20" t="s">
        <v>133</v>
      </c>
      <c r="EE20" t="s">
        <v>133</v>
      </c>
      <c r="EF20">
        <v>1</v>
      </c>
      <c r="EG20">
        <v>2174</v>
      </c>
      <c r="EH20">
        <v>8</v>
      </c>
      <c r="EI20">
        <v>0</v>
      </c>
      <c r="EJ20" t="s">
        <v>133</v>
      </c>
      <c r="EK20" t="s">
        <v>133</v>
      </c>
      <c r="EL20" t="s">
        <v>133</v>
      </c>
      <c r="EM20" t="s">
        <v>133</v>
      </c>
      <c r="EN20" t="s">
        <v>133</v>
      </c>
      <c r="EO20" t="s">
        <v>133</v>
      </c>
      <c r="EP20" t="s">
        <v>133</v>
      </c>
      <c r="EQ20" t="s">
        <v>133</v>
      </c>
      <c r="ER20">
        <v>3</v>
      </c>
      <c r="ES20" t="s">
        <v>133</v>
      </c>
    </row>
    <row r="21" spans="1:149" x14ac:dyDescent="0.2">
      <c r="A21">
        <v>10636</v>
      </c>
      <c r="B21">
        <v>26.81</v>
      </c>
      <c r="C21">
        <f t="shared" si="0"/>
        <v>-16.242413793103449</v>
      </c>
      <c r="D21">
        <v>4.3</v>
      </c>
      <c r="E21">
        <f t="shared" si="1"/>
        <v>1.2206896551724138</v>
      </c>
      <c r="F21">
        <v>4</v>
      </c>
      <c r="G21">
        <f t="shared" si="2"/>
        <v>-3.431034482758621</v>
      </c>
      <c r="H21">
        <v>5</v>
      </c>
      <c r="I21">
        <f t="shared" si="3"/>
        <v>-19.826946492271105</v>
      </c>
      <c r="J21">
        <f t="shared" si="4"/>
        <v>55.728281807372184</v>
      </c>
      <c r="K21">
        <f t="shared" si="5"/>
        <v>-4.1882282996432822</v>
      </c>
      <c r="L21">
        <f t="shared" si="6"/>
        <v>68.026937102792246</v>
      </c>
      <c r="M21">
        <v>112596</v>
      </c>
      <c r="N21">
        <v>5.6923079999999997</v>
      </c>
      <c r="O21">
        <v>5.6666670000000003</v>
      </c>
      <c r="P21">
        <v>4.9230770000000001</v>
      </c>
      <c r="Q21">
        <v>6.5</v>
      </c>
      <c r="R21">
        <v>6.6666670000000003</v>
      </c>
      <c r="S21">
        <v>5.8461540000000003</v>
      </c>
      <c r="T21" t="s">
        <v>136</v>
      </c>
      <c r="U21" t="s">
        <v>132</v>
      </c>
      <c r="V21">
        <v>3.89</v>
      </c>
      <c r="W21">
        <v>3.6</v>
      </c>
      <c r="X21">
        <v>3</v>
      </c>
      <c r="Y21">
        <v>3</v>
      </c>
      <c r="Z21">
        <v>0</v>
      </c>
      <c r="AA21">
        <v>5.67</v>
      </c>
      <c r="AB21">
        <v>4.67</v>
      </c>
      <c r="AC21">
        <v>6.5</v>
      </c>
      <c r="AD21">
        <v>3.67</v>
      </c>
      <c r="AE21">
        <v>5.3</v>
      </c>
      <c r="AF21">
        <v>34</v>
      </c>
      <c r="AG21">
        <v>9</v>
      </c>
      <c r="AH21">
        <v>16</v>
      </c>
      <c r="AI21">
        <v>0</v>
      </c>
      <c r="AJ21">
        <v>9</v>
      </c>
      <c r="AK21">
        <v>0</v>
      </c>
      <c r="AL21">
        <v>3</v>
      </c>
      <c r="AM21">
        <v>3</v>
      </c>
      <c r="AN21">
        <v>2</v>
      </c>
      <c r="AO21">
        <v>0</v>
      </c>
      <c r="AP21">
        <v>8</v>
      </c>
      <c r="AQ21">
        <v>21</v>
      </c>
      <c r="AR21">
        <v>12</v>
      </c>
      <c r="AS21">
        <v>0</v>
      </c>
      <c r="AT21">
        <v>0</v>
      </c>
      <c r="AU21">
        <v>6.67</v>
      </c>
      <c r="AV21">
        <v>6.25</v>
      </c>
      <c r="AW21">
        <v>6.75</v>
      </c>
      <c r="AX21">
        <v>7</v>
      </c>
      <c r="AZ21">
        <v>17</v>
      </c>
      <c r="BA21">
        <v>4.25</v>
      </c>
      <c r="BC21">
        <v>3.5</v>
      </c>
      <c r="BD21">
        <v>4.7699999999999996</v>
      </c>
      <c r="BE21">
        <v>31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20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8991</v>
      </c>
      <c r="BY21">
        <v>0</v>
      </c>
      <c r="BZ21">
        <v>0</v>
      </c>
      <c r="CA21">
        <v>0</v>
      </c>
      <c r="CB21">
        <v>0</v>
      </c>
      <c r="CC21">
        <v>3.6</v>
      </c>
      <c r="CD21">
        <v>3.9</v>
      </c>
      <c r="CE21">
        <v>4</v>
      </c>
      <c r="CF21">
        <v>3.83</v>
      </c>
      <c r="CG21">
        <v>6</v>
      </c>
      <c r="CH21">
        <v>5.1666666666666599</v>
      </c>
      <c r="CI21">
        <v>6</v>
      </c>
      <c r="CJ21">
        <v>5.1666666666666599</v>
      </c>
      <c r="CK21">
        <v>1.8</v>
      </c>
      <c r="CL21">
        <v>0</v>
      </c>
      <c r="CM21">
        <v>0</v>
      </c>
      <c r="CN21">
        <v>28</v>
      </c>
      <c r="CO21">
        <v>25</v>
      </c>
      <c r="CP21">
        <v>9</v>
      </c>
      <c r="CQ21">
        <v>0.81818181818181801</v>
      </c>
      <c r="CR21">
        <v>36</v>
      </c>
      <c r="CS21">
        <v>32</v>
      </c>
      <c r="CT21">
        <v>48</v>
      </c>
      <c r="CU21" s="1">
        <v>26</v>
      </c>
      <c r="CV21" s="1">
        <v>34</v>
      </c>
      <c r="CW21">
        <v>48</v>
      </c>
      <c r="CX21">
        <v>58</v>
      </c>
      <c r="CY21">
        <v>40</v>
      </c>
      <c r="CZ21">
        <v>60</v>
      </c>
      <c r="DA21">
        <v>31</v>
      </c>
      <c r="DB21">
        <v>60</v>
      </c>
      <c r="DC21">
        <v>0</v>
      </c>
      <c r="DD21">
        <v>0</v>
      </c>
      <c r="DE21">
        <v>7</v>
      </c>
      <c r="DF21">
        <v>1</v>
      </c>
      <c r="DG21">
        <v>45001</v>
      </c>
      <c r="DH21">
        <v>35260</v>
      </c>
      <c r="DI21">
        <v>26.67</v>
      </c>
      <c r="DJ21">
        <v>1</v>
      </c>
      <c r="DK21">
        <v>1</v>
      </c>
      <c r="DL21">
        <v>5</v>
      </c>
      <c r="DM21">
        <v>0</v>
      </c>
      <c r="DN21">
        <v>0</v>
      </c>
      <c r="DO21" t="s">
        <v>133</v>
      </c>
      <c r="DP21">
        <v>0</v>
      </c>
      <c r="DQ21">
        <v>2.4444444444443998</v>
      </c>
      <c r="DR21">
        <v>12</v>
      </c>
      <c r="DS21">
        <v>999</v>
      </c>
      <c r="DT21">
        <v>7</v>
      </c>
      <c r="DU21">
        <v>1</v>
      </c>
      <c r="DV21">
        <v>999</v>
      </c>
      <c r="DW21">
        <v>7</v>
      </c>
      <c r="DY21">
        <v>6</v>
      </c>
      <c r="DZ21">
        <v>4</v>
      </c>
      <c r="EA21">
        <v>6</v>
      </c>
      <c r="EB21">
        <v>6</v>
      </c>
      <c r="EC21" t="s">
        <v>133</v>
      </c>
      <c r="ED21" t="s">
        <v>133</v>
      </c>
      <c r="EE21" t="s">
        <v>133</v>
      </c>
      <c r="EF21">
        <v>1</v>
      </c>
      <c r="EG21">
        <v>19087</v>
      </c>
      <c r="EH21">
        <v>6</v>
      </c>
      <c r="EI21">
        <v>0</v>
      </c>
      <c r="EJ21" t="s">
        <v>133</v>
      </c>
      <c r="EK21" t="s">
        <v>133</v>
      </c>
      <c r="EL21" t="s">
        <v>133</v>
      </c>
      <c r="EM21" t="s">
        <v>133</v>
      </c>
      <c r="EN21" t="s">
        <v>133</v>
      </c>
      <c r="EO21" t="s">
        <v>133</v>
      </c>
      <c r="EP21" t="s">
        <v>133</v>
      </c>
      <c r="EQ21" t="s">
        <v>133</v>
      </c>
      <c r="ER21" t="s">
        <v>133</v>
      </c>
      <c r="ES21" t="s">
        <v>133</v>
      </c>
    </row>
    <row r="22" spans="1:149" x14ac:dyDescent="0.2">
      <c r="A22">
        <v>10638</v>
      </c>
      <c r="B22">
        <v>71.83</v>
      </c>
      <c r="C22">
        <f t="shared" si="0"/>
        <v>28.777586206896551</v>
      </c>
      <c r="D22">
        <v>3</v>
      </c>
      <c r="E22">
        <f t="shared" si="1"/>
        <v>-7.9310344827586032E-2</v>
      </c>
      <c r="F22">
        <v>8</v>
      </c>
      <c r="G22">
        <f t="shared" si="2"/>
        <v>0.568965517241379</v>
      </c>
      <c r="H22">
        <v>3.9166666666666998</v>
      </c>
      <c r="I22">
        <f t="shared" si="3"/>
        <v>-2.282360285374549</v>
      </c>
      <c r="J22">
        <f t="shared" si="4"/>
        <v>16.373454221165272</v>
      </c>
      <c r="K22">
        <f t="shared" si="5"/>
        <v>-4.5124851367419616E-2</v>
      </c>
      <c r="L22">
        <f t="shared" si="6"/>
        <v>-1.2985843002993116</v>
      </c>
      <c r="M22">
        <v>101951</v>
      </c>
      <c r="N22">
        <v>5.7142860000000004</v>
      </c>
      <c r="O22">
        <v>6.1666670000000003</v>
      </c>
      <c r="P22">
        <v>5.0769229999999999</v>
      </c>
      <c r="Q22">
        <v>6.4285709999999998</v>
      </c>
      <c r="R22">
        <v>6.461538</v>
      </c>
      <c r="S22">
        <v>5.4285709999999998</v>
      </c>
      <c r="T22" t="s">
        <v>131</v>
      </c>
      <c r="U22" t="s">
        <v>132</v>
      </c>
      <c r="V22">
        <v>4.5599999999999996</v>
      </c>
      <c r="W22">
        <v>3.9</v>
      </c>
      <c r="X22">
        <v>1</v>
      </c>
      <c r="Y22">
        <v>0</v>
      </c>
      <c r="Z22">
        <v>0</v>
      </c>
      <c r="AA22">
        <v>5.67</v>
      </c>
      <c r="AB22">
        <v>5.33</v>
      </c>
      <c r="AC22">
        <v>6.13</v>
      </c>
      <c r="AD22">
        <v>4.83</v>
      </c>
      <c r="AE22">
        <v>5.63</v>
      </c>
      <c r="AF22">
        <v>2</v>
      </c>
      <c r="AG22">
        <v>1</v>
      </c>
      <c r="AH22">
        <v>1</v>
      </c>
      <c r="AI22">
        <v>0</v>
      </c>
      <c r="AJ22">
        <v>0</v>
      </c>
      <c r="AK22">
        <v>0</v>
      </c>
      <c r="AL22">
        <v>5</v>
      </c>
      <c r="AM22">
        <v>9</v>
      </c>
      <c r="AN22">
        <v>1</v>
      </c>
      <c r="AO22">
        <v>2</v>
      </c>
      <c r="AP22">
        <v>17</v>
      </c>
      <c r="AQ22">
        <v>40</v>
      </c>
      <c r="AR22">
        <v>10</v>
      </c>
      <c r="AS22">
        <v>0</v>
      </c>
      <c r="AT22">
        <v>0</v>
      </c>
      <c r="AU22">
        <v>7</v>
      </c>
      <c r="AV22">
        <v>7</v>
      </c>
      <c r="AW22">
        <v>7</v>
      </c>
      <c r="AX22">
        <v>7</v>
      </c>
      <c r="AZ22">
        <v>12</v>
      </c>
      <c r="BA22">
        <v>2.75</v>
      </c>
      <c r="BC22">
        <v>2.67</v>
      </c>
      <c r="BD22">
        <v>9999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20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8991</v>
      </c>
      <c r="BY22">
        <v>0</v>
      </c>
      <c r="BZ22">
        <v>0</v>
      </c>
      <c r="CA22">
        <v>0</v>
      </c>
      <c r="CB22">
        <v>0</v>
      </c>
      <c r="CC22">
        <v>4.0999999999999996</v>
      </c>
      <c r="CD22">
        <v>4.2</v>
      </c>
      <c r="CE22">
        <v>4.2</v>
      </c>
      <c r="CF22">
        <v>4.17</v>
      </c>
      <c r="CG22">
        <v>6</v>
      </c>
      <c r="CH22">
        <v>5.1666666666666599</v>
      </c>
      <c r="CI22">
        <v>6</v>
      </c>
      <c r="CJ22">
        <v>5.1666666666666599</v>
      </c>
      <c r="CK22">
        <v>0.85</v>
      </c>
      <c r="CL22">
        <v>0</v>
      </c>
      <c r="CM22">
        <v>0</v>
      </c>
      <c r="CN22">
        <v>19</v>
      </c>
      <c r="CO22">
        <v>24</v>
      </c>
      <c r="CP22">
        <v>7</v>
      </c>
      <c r="CQ22">
        <v>0.875</v>
      </c>
      <c r="CR22">
        <v>26</v>
      </c>
      <c r="CS22">
        <v>19</v>
      </c>
      <c r="CT22">
        <v>29</v>
      </c>
      <c r="CU22" s="1">
        <v>26</v>
      </c>
      <c r="CV22" s="1">
        <v>31</v>
      </c>
      <c r="CW22">
        <v>48</v>
      </c>
      <c r="CX22">
        <v>60</v>
      </c>
      <c r="CY22">
        <v>33</v>
      </c>
      <c r="CZ22">
        <v>60</v>
      </c>
      <c r="DA22">
        <v>42</v>
      </c>
      <c r="DB22">
        <v>60</v>
      </c>
      <c r="DC22">
        <v>0</v>
      </c>
      <c r="DD22">
        <v>0</v>
      </c>
      <c r="DE22">
        <v>6</v>
      </c>
      <c r="DF22">
        <v>1</v>
      </c>
      <c r="DG22">
        <v>45000</v>
      </c>
      <c r="DH22">
        <v>18835</v>
      </c>
      <c r="DI22">
        <v>71.64</v>
      </c>
      <c r="DJ22">
        <v>4</v>
      </c>
      <c r="DK22">
        <v>1</v>
      </c>
      <c r="DL22">
        <v>1</v>
      </c>
      <c r="DM22">
        <v>0</v>
      </c>
      <c r="DN22">
        <v>0</v>
      </c>
      <c r="DO22" t="s">
        <v>133</v>
      </c>
      <c r="DP22">
        <v>28</v>
      </c>
      <c r="DQ22">
        <v>2.8888888888888999</v>
      </c>
      <c r="DR22">
        <v>10</v>
      </c>
      <c r="DS22">
        <v>999</v>
      </c>
      <c r="DT22">
        <v>6</v>
      </c>
      <c r="DU22">
        <v>6</v>
      </c>
      <c r="DV22">
        <v>999</v>
      </c>
      <c r="DW22">
        <v>9</v>
      </c>
      <c r="DY22">
        <v>4</v>
      </c>
      <c r="DZ22">
        <v>5</v>
      </c>
      <c r="EA22">
        <v>8</v>
      </c>
      <c r="EB22">
        <v>4</v>
      </c>
      <c r="EC22" t="s">
        <v>133</v>
      </c>
      <c r="ED22" t="s">
        <v>133</v>
      </c>
      <c r="EE22" t="s">
        <v>133</v>
      </c>
      <c r="EF22">
        <v>1</v>
      </c>
      <c r="EG22">
        <v>13021</v>
      </c>
      <c r="EH22">
        <v>8</v>
      </c>
      <c r="EI22">
        <v>0</v>
      </c>
      <c r="EJ22" t="s">
        <v>133</v>
      </c>
      <c r="EK22" t="s">
        <v>133</v>
      </c>
      <c r="EL22" t="s">
        <v>133</v>
      </c>
      <c r="EM22" t="s">
        <v>133</v>
      </c>
      <c r="EN22" t="s">
        <v>133</v>
      </c>
      <c r="EO22" t="s">
        <v>133</v>
      </c>
      <c r="EP22" t="s">
        <v>133</v>
      </c>
      <c r="EQ22" t="s">
        <v>133</v>
      </c>
      <c r="ER22">
        <v>0</v>
      </c>
      <c r="ES22" t="s">
        <v>133</v>
      </c>
    </row>
    <row r="23" spans="1:149" x14ac:dyDescent="0.2">
      <c r="A23">
        <v>10640</v>
      </c>
      <c r="B23">
        <v>31.73</v>
      </c>
      <c r="C23">
        <f t="shared" si="0"/>
        <v>-11.322413793103447</v>
      </c>
      <c r="D23">
        <v>3.3</v>
      </c>
      <c r="E23">
        <f t="shared" si="1"/>
        <v>0.22068965517241379</v>
      </c>
      <c r="F23">
        <v>8</v>
      </c>
      <c r="G23">
        <f t="shared" si="2"/>
        <v>0.568965517241379</v>
      </c>
      <c r="H23">
        <v>4.8333333333333002</v>
      </c>
      <c r="I23">
        <f t="shared" si="3"/>
        <v>-2.4987395957193814</v>
      </c>
      <c r="J23">
        <f t="shared" si="4"/>
        <v>-6.442063020214027</v>
      </c>
      <c r="K23">
        <f t="shared" si="5"/>
        <v>0.12556480380499399</v>
      </c>
      <c r="L23">
        <f t="shared" si="6"/>
        <v>-1.4216966665299922</v>
      </c>
      <c r="M23">
        <v>30392</v>
      </c>
      <c r="N23">
        <v>3</v>
      </c>
      <c r="O23">
        <v>5.5</v>
      </c>
      <c r="P23">
        <v>2.2222219999999999</v>
      </c>
      <c r="Q23">
        <v>3.5555560000000002</v>
      </c>
      <c r="R23">
        <v>5</v>
      </c>
      <c r="S23">
        <v>4.9090910000000001</v>
      </c>
      <c r="T23" t="s">
        <v>131</v>
      </c>
      <c r="U23" t="s">
        <v>132</v>
      </c>
      <c r="V23">
        <v>3.22</v>
      </c>
      <c r="W23">
        <v>3</v>
      </c>
      <c r="X23">
        <v>0</v>
      </c>
      <c r="Y23">
        <v>1</v>
      </c>
      <c r="Z23">
        <v>0</v>
      </c>
      <c r="AA23">
        <v>6</v>
      </c>
      <c r="AB23">
        <v>4.83</v>
      </c>
      <c r="AC23">
        <v>4.38</v>
      </c>
      <c r="AD23">
        <v>5.5</v>
      </c>
      <c r="AE23">
        <v>5.17</v>
      </c>
      <c r="AF23">
        <v>23</v>
      </c>
      <c r="AG23">
        <v>6</v>
      </c>
      <c r="AH23">
        <v>14</v>
      </c>
      <c r="AI23">
        <v>3</v>
      </c>
      <c r="AJ23">
        <v>0</v>
      </c>
      <c r="AK23">
        <v>2</v>
      </c>
      <c r="AL23">
        <v>6</v>
      </c>
      <c r="AM23">
        <v>9</v>
      </c>
      <c r="AN23">
        <v>3</v>
      </c>
      <c r="AO23">
        <v>4</v>
      </c>
      <c r="AP23">
        <v>24</v>
      </c>
      <c r="AQ23">
        <v>34</v>
      </c>
      <c r="AR23">
        <v>17</v>
      </c>
      <c r="AS23">
        <v>0</v>
      </c>
      <c r="AT23">
        <v>0</v>
      </c>
      <c r="AU23">
        <v>6.67</v>
      </c>
      <c r="AV23">
        <v>7</v>
      </c>
      <c r="AW23">
        <v>6</v>
      </c>
      <c r="AX23">
        <v>7</v>
      </c>
      <c r="AZ23">
        <v>19</v>
      </c>
      <c r="BA23">
        <v>1.92</v>
      </c>
      <c r="BC23">
        <v>1.67</v>
      </c>
      <c r="BD23">
        <v>9999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20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8991</v>
      </c>
      <c r="BY23">
        <v>0</v>
      </c>
      <c r="BZ23">
        <v>0</v>
      </c>
      <c r="CA23">
        <v>0</v>
      </c>
      <c r="CB23">
        <v>0</v>
      </c>
      <c r="CC23">
        <v>4</v>
      </c>
      <c r="CD23">
        <v>4.7</v>
      </c>
      <c r="CE23">
        <v>4.5999999999999996</v>
      </c>
      <c r="CF23">
        <v>4.43</v>
      </c>
      <c r="CG23">
        <v>6</v>
      </c>
      <c r="CH23">
        <v>5.1666666666666599</v>
      </c>
      <c r="CI23">
        <v>6</v>
      </c>
      <c r="CJ23">
        <v>5.1666666666666599</v>
      </c>
      <c r="CK23">
        <v>0.65</v>
      </c>
      <c r="CL23">
        <v>0</v>
      </c>
      <c r="CM23">
        <v>0</v>
      </c>
      <c r="CN23">
        <v>25</v>
      </c>
      <c r="CO23">
        <v>27</v>
      </c>
      <c r="CP23">
        <v>9</v>
      </c>
      <c r="CQ23">
        <v>0.9</v>
      </c>
      <c r="CR23">
        <v>32</v>
      </c>
      <c r="CS23">
        <v>30</v>
      </c>
      <c r="CT23">
        <v>35</v>
      </c>
      <c r="CU23" s="1">
        <v>25</v>
      </c>
      <c r="CV23" s="1">
        <v>32</v>
      </c>
      <c r="CW23">
        <v>48</v>
      </c>
      <c r="CX23">
        <v>0</v>
      </c>
      <c r="CY23">
        <v>39</v>
      </c>
      <c r="CZ23">
        <v>60</v>
      </c>
      <c r="DA23">
        <v>33</v>
      </c>
      <c r="DB23">
        <v>60</v>
      </c>
      <c r="DC23">
        <v>1</v>
      </c>
      <c r="DD23">
        <v>1</v>
      </c>
      <c r="DE23">
        <v>7</v>
      </c>
      <c r="DF23">
        <v>1</v>
      </c>
      <c r="DG23">
        <v>45001</v>
      </c>
      <c r="DH23">
        <v>33609</v>
      </c>
      <c r="DI23">
        <v>31.19</v>
      </c>
      <c r="DJ23">
        <v>4</v>
      </c>
      <c r="DK23">
        <v>1</v>
      </c>
      <c r="DL23">
        <v>0</v>
      </c>
      <c r="DM23">
        <v>0</v>
      </c>
      <c r="DN23">
        <v>0</v>
      </c>
      <c r="DO23" t="s">
        <v>133</v>
      </c>
      <c r="DP23">
        <v>0</v>
      </c>
      <c r="DQ23">
        <v>3.5555555555556002</v>
      </c>
      <c r="DR23">
        <v>12</v>
      </c>
      <c r="DS23">
        <v>999</v>
      </c>
      <c r="DT23">
        <v>8</v>
      </c>
      <c r="DU23">
        <v>12</v>
      </c>
      <c r="DV23">
        <v>999</v>
      </c>
      <c r="DW23">
        <v>12</v>
      </c>
      <c r="DY23">
        <v>5</v>
      </c>
      <c r="DZ23">
        <v>5</v>
      </c>
      <c r="EA23">
        <v>6</v>
      </c>
      <c r="EB23">
        <v>5</v>
      </c>
      <c r="EC23" t="s">
        <v>133</v>
      </c>
      <c r="ED23" t="s">
        <v>133</v>
      </c>
      <c r="EE23" t="s">
        <v>133</v>
      </c>
      <c r="EF23">
        <v>3</v>
      </c>
      <c r="EG23">
        <v>19145</v>
      </c>
      <c r="EH23">
        <v>6</v>
      </c>
      <c r="EI23">
        <v>0</v>
      </c>
      <c r="EJ23" t="s">
        <v>133</v>
      </c>
      <c r="EK23" t="s">
        <v>133</v>
      </c>
      <c r="EL23" t="s">
        <v>133</v>
      </c>
      <c r="EM23" t="s">
        <v>133</v>
      </c>
      <c r="EN23" t="s">
        <v>133</v>
      </c>
      <c r="EO23" t="s">
        <v>133</v>
      </c>
      <c r="EP23" t="s">
        <v>133</v>
      </c>
      <c r="EQ23" t="s">
        <v>133</v>
      </c>
      <c r="ER23" t="s">
        <v>133</v>
      </c>
      <c r="ES23" t="s">
        <v>133</v>
      </c>
    </row>
    <row r="24" spans="1:149" x14ac:dyDescent="0.2">
      <c r="A24">
        <v>10641</v>
      </c>
      <c r="B24">
        <v>44.68</v>
      </c>
      <c r="C24">
        <f t="shared" si="0"/>
        <v>1.6275862068965523</v>
      </c>
      <c r="D24">
        <v>2.5</v>
      </c>
      <c r="E24">
        <f t="shared" si="1"/>
        <v>-0.57931034482758603</v>
      </c>
      <c r="F24">
        <v>16</v>
      </c>
      <c r="G24">
        <f t="shared" si="2"/>
        <v>8.568965517241379</v>
      </c>
      <c r="H24">
        <v>5</v>
      </c>
      <c r="I24">
        <f t="shared" si="3"/>
        <v>-0.94287752675386449</v>
      </c>
      <c r="J24">
        <f t="shared" si="4"/>
        <v>13.94673008323425</v>
      </c>
      <c r="K24">
        <f t="shared" si="5"/>
        <v>-4.9640903686087974</v>
      </c>
      <c r="L24">
        <f t="shared" si="6"/>
        <v>-8.0794850137357006</v>
      </c>
      <c r="M24">
        <v>32278</v>
      </c>
      <c r="N24">
        <v>3.6</v>
      </c>
      <c r="O24">
        <v>4.5714290000000002</v>
      </c>
      <c r="P24">
        <v>2.5</v>
      </c>
      <c r="Q24">
        <v>3.6</v>
      </c>
      <c r="R24">
        <v>6.2857139999999996</v>
      </c>
      <c r="S24">
        <v>6.3333329999999997</v>
      </c>
      <c r="T24" t="s">
        <v>131</v>
      </c>
      <c r="U24" t="s">
        <v>132</v>
      </c>
      <c r="V24">
        <v>4.67</v>
      </c>
      <c r="W24">
        <v>4.5</v>
      </c>
      <c r="X24">
        <v>4</v>
      </c>
      <c r="Y24">
        <v>1</v>
      </c>
      <c r="Z24">
        <v>0</v>
      </c>
      <c r="AA24">
        <v>6.33</v>
      </c>
      <c r="AB24">
        <v>4.83</v>
      </c>
      <c r="AC24">
        <v>6</v>
      </c>
      <c r="AD24">
        <v>5.83</v>
      </c>
      <c r="AE24">
        <v>5.8</v>
      </c>
      <c r="AF24">
        <v>9</v>
      </c>
      <c r="AG24">
        <v>3</v>
      </c>
      <c r="AH24">
        <v>6</v>
      </c>
      <c r="AI24">
        <v>0</v>
      </c>
      <c r="AJ24">
        <v>0</v>
      </c>
      <c r="AK24">
        <v>1</v>
      </c>
      <c r="AL24">
        <v>2</v>
      </c>
      <c r="AM24">
        <v>7</v>
      </c>
      <c r="AN24">
        <v>1</v>
      </c>
      <c r="AO24">
        <v>1</v>
      </c>
      <c r="AP24">
        <v>12</v>
      </c>
      <c r="AQ24">
        <v>37</v>
      </c>
      <c r="AR24">
        <v>11</v>
      </c>
      <c r="AS24">
        <v>0</v>
      </c>
      <c r="AT24">
        <v>0</v>
      </c>
      <c r="AU24">
        <v>6.75</v>
      </c>
      <c r="AV24">
        <v>6.5</v>
      </c>
      <c r="AW24">
        <v>6.75</v>
      </c>
      <c r="AX24">
        <v>7</v>
      </c>
      <c r="AZ24">
        <v>17</v>
      </c>
      <c r="BA24">
        <v>2.83</v>
      </c>
      <c r="BC24">
        <v>2.67</v>
      </c>
      <c r="BD24">
        <v>3.11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20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8991</v>
      </c>
      <c r="BY24">
        <v>0</v>
      </c>
      <c r="BZ24">
        <v>0</v>
      </c>
      <c r="CA24">
        <v>0</v>
      </c>
      <c r="CB24">
        <v>0</v>
      </c>
      <c r="CC24">
        <v>3.5</v>
      </c>
      <c r="CD24">
        <v>4</v>
      </c>
      <c r="CE24">
        <v>4.0999999999999996</v>
      </c>
      <c r="CF24">
        <v>3.87</v>
      </c>
      <c r="CG24">
        <v>6</v>
      </c>
      <c r="CH24">
        <v>5.1666666666666599</v>
      </c>
      <c r="CI24">
        <v>3.8333333333333299</v>
      </c>
      <c r="CJ24">
        <v>3.8333333333333299</v>
      </c>
      <c r="CK24">
        <v>1.25</v>
      </c>
      <c r="CL24">
        <v>0</v>
      </c>
      <c r="CM24">
        <v>0</v>
      </c>
      <c r="CN24">
        <v>26</v>
      </c>
      <c r="CO24">
        <v>0</v>
      </c>
      <c r="CP24">
        <v>9</v>
      </c>
      <c r="CQ24">
        <v>0.81818181818181801</v>
      </c>
      <c r="CR24">
        <v>35</v>
      </c>
      <c r="CS24">
        <v>37</v>
      </c>
      <c r="CT24">
        <v>58</v>
      </c>
      <c r="CU24" s="1">
        <v>26</v>
      </c>
      <c r="CV24" s="1">
        <v>35</v>
      </c>
      <c r="CW24">
        <v>48</v>
      </c>
      <c r="CX24">
        <v>47</v>
      </c>
      <c r="CY24">
        <v>35</v>
      </c>
      <c r="CZ24">
        <v>60</v>
      </c>
      <c r="DA24">
        <v>38</v>
      </c>
      <c r="DB24">
        <v>60</v>
      </c>
      <c r="DC24">
        <v>0</v>
      </c>
      <c r="DD24">
        <v>0</v>
      </c>
      <c r="DE24">
        <v>7</v>
      </c>
      <c r="DF24">
        <v>1</v>
      </c>
      <c r="DG24">
        <v>45001</v>
      </c>
      <c r="DH24">
        <v>28785</v>
      </c>
      <c r="DI24">
        <v>44.4</v>
      </c>
      <c r="DJ24">
        <v>4</v>
      </c>
      <c r="DK24">
        <v>1</v>
      </c>
      <c r="DL24">
        <v>4</v>
      </c>
      <c r="DM24">
        <v>4</v>
      </c>
      <c r="DN24">
        <v>0</v>
      </c>
      <c r="DO24" t="s">
        <v>133</v>
      </c>
      <c r="DP24">
        <v>31</v>
      </c>
      <c r="DQ24">
        <v>3.2777777777777999</v>
      </c>
      <c r="DR24">
        <v>9</v>
      </c>
      <c r="DS24">
        <v>999</v>
      </c>
      <c r="DT24">
        <v>8</v>
      </c>
      <c r="DU24">
        <v>8</v>
      </c>
      <c r="DV24">
        <v>999</v>
      </c>
      <c r="DW24">
        <v>10</v>
      </c>
      <c r="DY24">
        <v>6</v>
      </c>
      <c r="DZ24">
        <v>1</v>
      </c>
      <c r="EA24">
        <v>5</v>
      </c>
      <c r="EB24">
        <v>6</v>
      </c>
      <c r="EC24" t="s">
        <v>133</v>
      </c>
      <c r="ED24" t="s">
        <v>133</v>
      </c>
      <c r="EE24" t="s">
        <v>133</v>
      </c>
      <c r="EF24">
        <v>1</v>
      </c>
      <c r="EG24">
        <v>22307</v>
      </c>
      <c r="EH24">
        <v>5</v>
      </c>
      <c r="EI24">
        <v>0</v>
      </c>
      <c r="EJ24" t="s">
        <v>133</v>
      </c>
      <c r="EK24" t="s">
        <v>133</v>
      </c>
      <c r="EL24" t="s">
        <v>133</v>
      </c>
      <c r="EM24" t="s">
        <v>133</v>
      </c>
      <c r="EN24" t="s">
        <v>133</v>
      </c>
      <c r="EO24" t="s">
        <v>133</v>
      </c>
      <c r="EP24" t="s">
        <v>133</v>
      </c>
      <c r="EQ24" t="s">
        <v>133</v>
      </c>
      <c r="ER24" t="s">
        <v>133</v>
      </c>
      <c r="ES24" t="s">
        <v>133</v>
      </c>
    </row>
    <row r="25" spans="1:149" x14ac:dyDescent="0.2">
      <c r="A25">
        <v>10642</v>
      </c>
      <c r="B25">
        <v>31.9</v>
      </c>
      <c r="C25">
        <f t="shared" si="0"/>
        <v>-11.152413793103449</v>
      </c>
      <c r="D25">
        <v>2.6</v>
      </c>
      <c r="E25">
        <f t="shared" si="1"/>
        <v>-0.47931034482758594</v>
      </c>
      <c r="F25">
        <v>14</v>
      </c>
      <c r="G25">
        <f t="shared" si="2"/>
        <v>6.568965517241379</v>
      </c>
      <c r="H25">
        <v>2.75</v>
      </c>
      <c r="I25">
        <f t="shared" si="3"/>
        <v>5.3454673008323397</v>
      </c>
      <c r="J25">
        <f t="shared" si="4"/>
        <v>-73.259821640903681</v>
      </c>
      <c r="K25">
        <f t="shared" si="5"/>
        <v>-3.1485731272294868</v>
      </c>
      <c r="L25">
        <f t="shared" si="6"/>
        <v>35.11419037270899</v>
      </c>
      <c r="M25">
        <v>31691</v>
      </c>
      <c r="N25">
        <v>2.285714</v>
      </c>
      <c r="O25">
        <v>2.5</v>
      </c>
      <c r="P25">
        <v>2.6666669999999999</v>
      </c>
      <c r="Q25">
        <v>2.6</v>
      </c>
      <c r="R25">
        <v>5.8571429999999998</v>
      </c>
      <c r="S25">
        <v>6</v>
      </c>
      <c r="T25" t="s">
        <v>131</v>
      </c>
      <c r="U25" t="s">
        <v>132</v>
      </c>
      <c r="V25">
        <v>4.67</v>
      </c>
      <c r="W25">
        <v>3.2</v>
      </c>
      <c r="X25">
        <v>21</v>
      </c>
      <c r="Y25">
        <v>21</v>
      </c>
      <c r="Z25">
        <v>0</v>
      </c>
      <c r="AA25">
        <v>5</v>
      </c>
      <c r="AB25">
        <v>2</v>
      </c>
      <c r="AC25">
        <v>2.13</v>
      </c>
      <c r="AD25">
        <v>5.83</v>
      </c>
      <c r="AE25">
        <v>3.67</v>
      </c>
      <c r="AF25">
        <v>39</v>
      </c>
      <c r="AG25">
        <v>7</v>
      </c>
      <c r="AH25">
        <v>19</v>
      </c>
      <c r="AI25">
        <v>8</v>
      </c>
      <c r="AJ25">
        <v>5</v>
      </c>
      <c r="AK25">
        <v>1</v>
      </c>
      <c r="AL25">
        <v>7</v>
      </c>
      <c r="AM25">
        <v>5</v>
      </c>
      <c r="AN25">
        <v>5</v>
      </c>
      <c r="AO25">
        <v>4</v>
      </c>
      <c r="AP25">
        <v>22</v>
      </c>
      <c r="AQ25">
        <v>33</v>
      </c>
      <c r="AR25">
        <v>13</v>
      </c>
      <c r="AS25">
        <v>0</v>
      </c>
      <c r="AT25">
        <v>0</v>
      </c>
      <c r="AU25">
        <v>3.83</v>
      </c>
      <c r="AV25">
        <v>4.75</v>
      </c>
      <c r="AW25">
        <v>1</v>
      </c>
      <c r="AX25">
        <v>5.75</v>
      </c>
      <c r="AZ25">
        <v>12</v>
      </c>
      <c r="BA25">
        <v>1.92</v>
      </c>
      <c r="BC25">
        <v>1.17</v>
      </c>
      <c r="BD25">
        <v>9999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20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8991</v>
      </c>
      <c r="BY25">
        <v>0</v>
      </c>
      <c r="BZ25">
        <v>0</v>
      </c>
      <c r="CA25">
        <v>0</v>
      </c>
      <c r="CB25">
        <v>0</v>
      </c>
      <c r="CC25">
        <v>2.2999999999999998</v>
      </c>
      <c r="CD25">
        <v>4.2</v>
      </c>
      <c r="CE25">
        <v>3.8</v>
      </c>
      <c r="CF25">
        <v>3.43</v>
      </c>
      <c r="CG25">
        <v>5.1666666666666599</v>
      </c>
      <c r="CH25">
        <v>3.5</v>
      </c>
      <c r="CI25">
        <v>3.5</v>
      </c>
      <c r="CJ25">
        <v>4.3333333333333304</v>
      </c>
      <c r="CK25">
        <v>1.6</v>
      </c>
      <c r="CL25">
        <v>0</v>
      </c>
      <c r="CM25">
        <v>0</v>
      </c>
      <c r="CN25">
        <v>26</v>
      </c>
      <c r="CO25">
        <v>27</v>
      </c>
      <c r="CP25">
        <v>10</v>
      </c>
      <c r="CQ25">
        <v>0.83333333333333304</v>
      </c>
      <c r="CR25">
        <v>34</v>
      </c>
      <c r="CS25">
        <v>46</v>
      </c>
      <c r="CT25">
        <v>59</v>
      </c>
      <c r="CU25" s="1">
        <v>23</v>
      </c>
      <c r="CV25" s="1">
        <v>28</v>
      </c>
      <c r="CW25">
        <v>42</v>
      </c>
      <c r="CX25">
        <v>60</v>
      </c>
      <c r="CY25">
        <v>39</v>
      </c>
      <c r="CZ25">
        <v>60</v>
      </c>
      <c r="DA25">
        <v>30</v>
      </c>
      <c r="DB25">
        <v>60</v>
      </c>
      <c r="DC25">
        <v>0</v>
      </c>
      <c r="DD25">
        <v>0</v>
      </c>
      <c r="DE25">
        <v>2</v>
      </c>
      <c r="DF25">
        <v>4</v>
      </c>
      <c r="DG25">
        <v>45000</v>
      </c>
      <c r="DH25">
        <v>33473</v>
      </c>
      <c r="DI25">
        <v>31.56</v>
      </c>
      <c r="DJ25">
        <v>4</v>
      </c>
      <c r="DK25">
        <v>1</v>
      </c>
      <c r="DL25">
        <v>2</v>
      </c>
      <c r="DM25">
        <v>5</v>
      </c>
      <c r="DN25">
        <v>6</v>
      </c>
      <c r="DO25" t="s">
        <v>133</v>
      </c>
      <c r="DP25">
        <v>0</v>
      </c>
      <c r="DQ25">
        <v>2</v>
      </c>
      <c r="DR25">
        <v>6</v>
      </c>
      <c r="DS25">
        <v>999</v>
      </c>
      <c r="DT25">
        <v>4</v>
      </c>
      <c r="DU25">
        <v>6</v>
      </c>
      <c r="DV25">
        <v>999</v>
      </c>
      <c r="DW25">
        <v>6</v>
      </c>
      <c r="DY25">
        <v>4</v>
      </c>
      <c r="DZ25">
        <v>0</v>
      </c>
      <c r="EA25">
        <v>4</v>
      </c>
      <c r="EB25">
        <v>4</v>
      </c>
      <c r="EC25" t="s">
        <v>133</v>
      </c>
      <c r="ED25" t="s">
        <v>133</v>
      </c>
      <c r="EE25" t="s">
        <v>133</v>
      </c>
      <c r="EF25">
        <v>1</v>
      </c>
      <c r="EG25">
        <v>19124</v>
      </c>
      <c r="EH25">
        <v>4</v>
      </c>
      <c r="EI25">
        <v>0</v>
      </c>
      <c r="EJ25" t="s">
        <v>133</v>
      </c>
      <c r="EK25" t="s">
        <v>133</v>
      </c>
      <c r="EL25" t="s">
        <v>133</v>
      </c>
      <c r="EM25" t="s">
        <v>133</v>
      </c>
      <c r="EN25" t="s">
        <v>133</v>
      </c>
      <c r="EO25" t="s">
        <v>133</v>
      </c>
      <c r="EP25" t="s">
        <v>133</v>
      </c>
      <c r="EQ25" t="s">
        <v>133</v>
      </c>
      <c r="ER25" t="s">
        <v>133</v>
      </c>
      <c r="ES25" t="s">
        <v>133</v>
      </c>
    </row>
    <row r="26" spans="1:149" x14ac:dyDescent="0.2">
      <c r="A26">
        <v>10644</v>
      </c>
      <c r="B26">
        <v>69.41</v>
      </c>
      <c r="C26">
        <f t="shared" si="0"/>
        <v>26.357586206896549</v>
      </c>
      <c r="D26">
        <v>3</v>
      </c>
      <c r="E26">
        <f t="shared" si="1"/>
        <v>-7.9310344827586032E-2</v>
      </c>
      <c r="F26">
        <v>3</v>
      </c>
      <c r="G26">
        <f t="shared" si="2"/>
        <v>-4.431034482758621</v>
      </c>
      <c r="H26">
        <v>4.0833333333333304</v>
      </c>
      <c r="I26">
        <f t="shared" si="3"/>
        <v>-2.0904292508917908</v>
      </c>
      <c r="J26">
        <f t="shared" si="4"/>
        <v>-116.79137336504161</v>
      </c>
      <c r="K26">
        <f t="shared" si="5"/>
        <v>0.35142687277051055</v>
      </c>
      <c r="L26">
        <f t="shared" si="6"/>
        <v>9.2627640944687979</v>
      </c>
      <c r="M26">
        <v>101853</v>
      </c>
      <c r="N26">
        <v>2.8571430000000002</v>
      </c>
      <c r="O26">
        <v>4</v>
      </c>
      <c r="P26">
        <v>3.1428569999999998</v>
      </c>
      <c r="Q26">
        <v>3.7777780000000001</v>
      </c>
      <c r="R26">
        <v>5.6923079999999997</v>
      </c>
      <c r="S26">
        <v>6.1428570000000002</v>
      </c>
      <c r="T26" t="s">
        <v>131</v>
      </c>
      <c r="U26" t="s">
        <v>132</v>
      </c>
      <c r="V26">
        <v>3.44</v>
      </c>
      <c r="W26">
        <v>3.2</v>
      </c>
      <c r="X26">
        <v>1</v>
      </c>
      <c r="Y26">
        <v>1</v>
      </c>
      <c r="Z26">
        <v>0</v>
      </c>
      <c r="AA26">
        <v>5.5</v>
      </c>
      <c r="AB26">
        <v>3.5</v>
      </c>
      <c r="AC26">
        <v>4.5</v>
      </c>
      <c r="AD26">
        <v>5</v>
      </c>
      <c r="AE26">
        <v>4.5999999999999996</v>
      </c>
      <c r="AF26">
        <v>18</v>
      </c>
      <c r="AG26">
        <v>4</v>
      </c>
      <c r="AH26">
        <v>7</v>
      </c>
      <c r="AI26">
        <v>2</v>
      </c>
      <c r="AJ26">
        <v>5</v>
      </c>
      <c r="AK26">
        <v>3</v>
      </c>
      <c r="AL26">
        <v>6</v>
      </c>
      <c r="AM26">
        <v>6</v>
      </c>
      <c r="AN26">
        <v>6</v>
      </c>
      <c r="AO26">
        <v>4</v>
      </c>
      <c r="AP26">
        <v>25</v>
      </c>
      <c r="AQ26">
        <v>25</v>
      </c>
      <c r="AR26">
        <v>11</v>
      </c>
      <c r="AS26">
        <v>0</v>
      </c>
      <c r="AT26">
        <v>0</v>
      </c>
      <c r="AU26">
        <v>5.92</v>
      </c>
      <c r="AV26">
        <v>6</v>
      </c>
      <c r="AW26">
        <v>5.75</v>
      </c>
      <c r="AX26">
        <v>6</v>
      </c>
      <c r="AZ26">
        <v>15</v>
      </c>
      <c r="BA26">
        <v>4.5</v>
      </c>
      <c r="BC26">
        <v>3.17</v>
      </c>
      <c r="BD26">
        <v>4.37</v>
      </c>
      <c r="BE26">
        <v>51.1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20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8991</v>
      </c>
      <c r="BY26">
        <v>0</v>
      </c>
      <c r="BZ26">
        <v>0</v>
      </c>
      <c r="CA26">
        <v>0</v>
      </c>
      <c r="CB26">
        <v>0</v>
      </c>
      <c r="CC26">
        <v>3.6</v>
      </c>
      <c r="CD26">
        <v>3.6</v>
      </c>
      <c r="CE26">
        <v>4</v>
      </c>
      <c r="CF26">
        <v>3.73</v>
      </c>
      <c r="CG26">
        <v>3.3333333333333299</v>
      </c>
      <c r="CH26">
        <v>4.5</v>
      </c>
      <c r="CI26">
        <v>4.5</v>
      </c>
      <c r="CJ26">
        <v>4.5</v>
      </c>
      <c r="CK26">
        <v>3</v>
      </c>
      <c r="CL26">
        <v>0</v>
      </c>
      <c r="CM26">
        <v>0</v>
      </c>
      <c r="CN26">
        <v>26</v>
      </c>
      <c r="CO26">
        <v>32</v>
      </c>
      <c r="CP26">
        <v>9</v>
      </c>
      <c r="CQ26">
        <v>0.9</v>
      </c>
      <c r="CR26">
        <v>35</v>
      </c>
      <c r="CS26">
        <v>34</v>
      </c>
      <c r="CT26">
        <v>52</v>
      </c>
      <c r="CU26" s="1">
        <v>29</v>
      </c>
      <c r="CV26" s="1">
        <v>31</v>
      </c>
      <c r="CW26">
        <v>48</v>
      </c>
      <c r="CX26">
        <v>55</v>
      </c>
      <c r="CY26">
        <v>47</v>
      </c>
      <c r="CZ26">
        <v>60</v>
      </c>
      <c r="DA26">
        <v>38</v>
      </c>
      <c r="DB26">
        <v>60</v>
      </c>
      <c r="DC26">
        <v>0</v>
      </c>
      <c r="DD26">
        <v>0</v>
      </c>
      <c r="DE26">
        <v>6</v>
      </c>
      <c r="DF26">
        <v>1</v>
      </c>
      <c r="DG26">
        <v>45000</v>
      </c>
      <c r="DH26">
        <v>19685</v>
      </c>
      <c r="DI26">
        <v>69.31</v>
      </c>
      <c r="DJ26">
        <v>4</v>
      </c>
      <c r="DK26">
        <v>1</v>
      </c>
      <c r="DL26">
        <v>1</v>
      </c>
      <c r="DM26">
        <v>4</v>
      </c>
      <c r="DN26">
        <v>0</v>
      </c>
      <c r="DO26" t="s">
        <v>133</v>
      </c>
      <c r="DP26">
        <v>23</v>
      </c>
      <c r="DQ26">
        <v>3</v>
      </c>
      <c r="DR26">
        <v>10</v>
      </c>
      <c r="DS26">
        <v>999</v>
      </c>
      <c r="DT26">
        <v>8</v>
      </c>
      <c r="DU26">
        <v>8</v>
      </c>
      <c r="DV26">
        <v>999</v>
      </c>
      <c r="DW26">
        <v>9</v>
      </c>
      <c r="DY26">
        <v>6</v>
      </c>
      <c r="DZ26">
        <v>4</v>
      </c>
      <c r="EA26">
        <v>7</v>
      </c>
      <c r="EB26">
        <v>6</v>
      </c>
      <c r="EC26" t="s">
        <v>133</v>
      </c>
      <c r="ED26" t="s">
        <v>133</v>
      </c>
      <c r="EE26" t="s">
        <v>133</v>
      </c>
      <c r="EF26">
        <v>1</v>
      </c>
      <c r="EG26">
        <v>11793</v>
      </c>
      <c r="EH26">
        <v>7</v>
      </c>
      <c r="EI26">
        <v>1</v>
      </c>
      <c r="EJ26" t="s">
        <v>133</v>
      </c>
      <c r="EK26" t="s">
        <v>133</v>
      </c>
      <c r="EL26" t="s">
        <v>133</v>
      </c>
      <c r="EM26" t="s">
        <v>133</v>
      </c>
      <c r="EN26" t="s">
        <v>133</v>
      </c>
      <c r="EO26" t="s">
        <v>133</v>
      </c>
      <c r="EP26" t="s">
        <v>133</v>
      </c>
      <c r="EQ26" t="s">
        <v>133</v>
      </c>
      <c r="ER26">
        <v>5</v>
      </c>
      <c r="ES26" t="s">
        <v>133</v>
      </c>
    </row>
    <row r="27" spans="1:149" x14ac:dyDescent="0.2">
      <c r="A27">
        <v>10647</v>
      </c>
      <c r="B27">
        <v>24.59</v>
      </c>
      <c r="C27">
        <f t="shared" si="0"/>
        <v>-18.462413793103448</v>
      </c>
      <c r="D27">
        <v>3.3</v>
      </c>
      <c r="E27">
        <f t="shared" si="1"/>
        <v>0.22068965517241379</v>
      </c>
      <c r="F27">
        <v>6</v>
      </c>
      <c r="G27">
        <f t="shared" si="2"/>
        <v>-1.431034482758621</v>
      </c>
      <c r="H27">
        <v>4.5833333333333002</v>
      </c>
      <c r="I27">
        <f t="shared" si="3"/>
        <v>-4.0744637336504157</v>
      </c>
      <c r="J27">
        <f t="shared" si="4"/>
        <v>26.420350772889421</v>
      </c>
      <c r="K27">
        <f t="shared" si="5"/>
        <v>-0.31581450653983362</v>
      </c>
      <c r="L27">
        <f t="shared" si="6"/>
        <v>5.8306981016031827</v>
      </c>
      <c r="M27">
        <v>30298</v>
      </c>
      <c r="N27">
        <v>2.25</v>
      </c>
      <c r="O27">
        <v>2.5</v>
      </c>
      <c r="P27">
        <v>2.4444439999999998</v>
      </c>
      <c r="Q27">
        <v>2.5</v>
      </c>
      <c r="R27">
        <v>3.4</v>
      </c>
      <c r="S27">
        <v>2.8</v>
      </c>
      <c r="T27" t="s">
        <v>131</v>
      </c>
      <c r="U27" t="s">
        <v>132</v>
      </c>
      <c r="V27">
        <v>4.22</v>
      </c>
      <c r="W27">
        <v>4.5</v>
      </c>
      <c r="X27">
        <v>1</v>
      </c>
      <c r="Y27">
        <v>0</v>
      </c>
      <c r="Z27">
        <v>0</v>
      </c>
      <c r="AA27">
        <v>6.17</v>
      </c>
      <c r="AB27">
        <v>4.83</v>
      </c>
      <c r="AC27">
        <v>6.25</v>
      </c>
      <c r="AD27">
        <v>4.83</v>
      </c>
      <c r="AE27">
        <v>5.63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1</v>
      </c>
      <c r="AN27">
        <v>2</v>
      </c>
      <c r="AO27">
        <v>0</v>
      </c>
      <c r="AP27">
        <v>3</v>
      </c>
      <c r="AQ27">
        <v>28</v>
      </c>
      <c r="AR27">
        <v>15</v>
      </c>
      <c r="AS27">
        <v>0</v>
      </c>
      <c r="AT27">
        <v>0</v>
      </c>
      <c r="AU27">
        <v>5.67</v>
      </c>
      <c r="AV27">
        <v>5.25</v>
      </c>
      <c r="AW27">
        <v>5</v>
      </c>
      <c r="AX27">
        <v>6.75</v>
      </c>
      <c r="AZ27">
        <v>6</v>
      </c>
      <c r="BA27">
        <v>2.92</v>
      </c>
      <c r="BC27">
        <v>3</v>
      </c>
      <c r="BD27">
        <v>9999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20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8991</v>
      </c>
      <c r="BY27">
        <v>0</v>
      </c>
      <c r="BZ27">
        <v>0</v>
      </c>
      <c r="CA27">
        <v>0</v>
      </c>
      <c r="CB27">
        <v>0</v>
      </c>
      <c r="CC27">
        <v>4</v>
      </c>
      <c r="CD27">
        <v>3.8</v>
      </c>
      <c r="CE27">
        <v>4.2</v>
      </c>
      <c r="CF27">
        <v>4</v>
      </c>
      <c r="CG27">
        <v>6</v>
      </c>
      <c r="CH27">
        <v>5.1666666666666599</v>
      </c>
      <c r="CI27">
        <v>6</v>
      </c>
      <c r="CJ27">
        <v>5.1666666666666599</v>
      </c>
      <c r="CK27">
        <v>0.95</v>
      </c>
      <c r="CL27">
        <v>0</v>
      </c>
      <c r="CM27">
        <v>0</v>
      </c>
      <c r="CN27">
        <v>30</v>
      </c>
      <c r="CO27">
        <v>25</v>
      </c>
      <c r="CP27">
        <v>12</v>
      </c>
      <c r="CQ27">
        <v>1</v>
      </c>
      <c r="CR27">
        <v>42</v>
      </c>
      <c r="CS27">
        <v>33</v>
      </c>
      <c r="CT27">
        <v>47</v>
      </c>
      <c r="CU27" s="1">
        <v>24</v>
      </c>
      <c r="CV27" s="1">
        <v>37</v>
      </c>
      <c r="CW27">
        <v>47</v>
      </c>
      <c r="CX27">
        <v>48</v>
      </c>
      <c r="CY27">
        <v>48</v>
      </c>
      <c r="CZ27">
        <v>47</v>
      </c>
      <c r="DA27">
        <v>48</v>
      </c>
      <c r="DB27">
        <v>60</v>
      </c>
      <c r="DC27">
        <v>0</v>
      </c>
      <c r="DD27">
        <v>0</v>
      </c>
      <c r="DE27">
        <v>5</v>
      </c>
      <c r="DF27">
        <v>1</v>
      </c>
      <c r="DG27">
        <v>45001</v>
      </c>
      <c r="DH27">
        <v>36114</v>
      </c>
      <c r="DI27">
        <v>24.33</v>
      </c>
      <c r="DJ27">
        <v>4</v>
      </c>
      <c r="DK27">
        <v>1</v>
      </c>
      <c r="DL27">
        <v>5</v>
      </c>
      <c r="DM27">
        <v>0</v>
      </c>
      <c r="DN27">
        <v>0</v>
      </c>
      <c r="DO27" t="s">
        <v>133</v>
      </c>
      <c r="DP27">
        <v>0</v>
      </c>
      <c r="DQ27">
        <v>2.3333333333333002</v>
      </c>
      <c r="DR27">
        <v>3</v>
      </c>
      <c r="DS27">
        <v>999</v>
      </c>
      <c r="DT27">
        <v>6</v>
      </c>
      <c r="DU27">
        <v>1</v>
      </c>
      <c r="DV27">
        <v>999</v>
      </c>
      <c r="DW27">
        <v>10</v>
      </c>
      <c r="DY27">
        <v>5</v>
      </c>
      <c r="DZ27">
        <v>1</v>
      </c>
      <c r="EA27">
        <v>6</v>
      </c>
      <c r="EB27">
        <v>5</v>
      </c>
      <c r="EC27" t="s">
        <v>133</v>
      </c>
      <c r="ED27" t="s">
        <v>133</v>
      </c>
      <c r="EE27" t="s">
        <v>133</v>
      </c>
      <c r="EF27" t="s">
        <v>133</v>
      </c>
      <c r="EG27">
        <v>66212</v>
      </c>
      <c r="EH27">
        <v>6</v>
      </c>
      <c r="EI27">
        <v>0</v>
      </c>
      <c r="EJ27" t="s">
        <v>133</v>
      </c>
      <c r="EK27" t="s">
        <v>133</v>
      </c>
      <c r="EL27" t="s">
        <v>133</v>
      </c>
      <c r="EM27" t="s">
        <v>133</v>
      </c>
      <c r="EN27" t="s">
        <v>133</v>
      </c>
      <c r="EO27" t="s">
        <v>133</v>
      </c>
      <c r="EP27" t="s">
        <v>133</v>
      </c>
      <c r="EQ27" t="s">
        <v>133</v>
      </c>
      <c r="ER27" t="s">
        <v>133</v>
      </c>
      <c r="ES27" t="s">
        <v>133</v>
      </c>
    </row>
    <row r="28" spans="1:149" x14ac:dyDescent="0.2">
      <c r="A28">
        <v>10649</v>
      </c>
      <c r="B28">
        <v>63.8</v>
      </c>
      <c r="C28">
        <f t="shared" si="0"/>
        <v>20.74758620689655</v>
      </c>
      <c r="D28">
        <v>3.7</v>
      </c>
      <c r="E28">
        <f t="shared" si="1"/>
        <v>0.62068965517241415</v>
      </c>
      <c r="F28">
        <v>4</v>
      </c>
      <c r="G28">
        <f t="shared" si="2"/>
        <v>-3.431034482758621</v>
      </c>
      <c r="H28">
        <v>5</v>
      </c>
      <c r="I28">
        <f t="shared" si="3"/>
        <v>12.877812128418556</v>
      </c>
      <c r="J28">
        <f t="shared" si="4"/>
        <v>-71.18568370986921</v>
      </c>
      <c r="K28">
        <f t="shared" si="5"/>
        <v>-2.1296076099881107</v>
      </c>
      <c r="L28">
        <f t="shared" si="6"/>
        <v>-44.184217475091259</v>
      </c>
      <c r="M28">
        <v>130259</v>
      </c>
      <c r="N28">
        <v>5.5714290000000002</v>
      </c>
      <c r="O28">
        <v>5.7777779999999996</v>
      </c>
      <c r="P28">
        <v>5.3846150000000002</v>
      </c>
      <c r="Q28">
        <v>6.4285709999999998</v>
      </c>
      <c r="R28">
        <v>6.3333329999999997</v>
      </c>
      <c r="S28">
        <v>5.3333329999999997</v>
      </c>
      <c r="T28" t="s">
        <v>131</v>
      </c>
      <c r="U28" t="s">
        <v>132</v>
      </c>
      <c r="V28">
        <v>3.33</v>
      </c>
      <c r="W28">
        <v>3.3</v>
      </c>
      <c r="X28">
        <v>2</v>
      </c>
      <c r="Y28">
        <v>1</v>
      </c>
      <c r="Z28">
        <v>0</v>
      </c>
      <c r="AA28" t="s">
        <v>133</v>
      </c>
      <c r="AB28" t="s">
        <v>133</v>
      </c>
      <c r="AC28" t="s">
        <v>133</v>
      </c>
      <c r="AD28" t="s">
        <v>133</v>
      </c>
      <c r="AE28" t="s">
        <v>133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32</v>
      </c>
      <c r="AR28">
        <v>12</v>
      </c>
      <c r="AS28">
        <v>1</v>
      </c>
      <c r="AT28">
        <v>0</v>
      </c>
      <c r="AU28">
        <v>7</v>
      </c>
      <c r="AV28">
        <v>7</v>
      </c>
      <c r="AW28">
        <v>7</v>
      </c>
      <c r="AX28">
        <v>7</v>
      </c>
      <c r="AZ28">
        <v>13</v>
      </c>
      <c r="BA28">
        <v>3.08</v>
      </c>
      <c r="BC28">
        <v>3</v>
      </c>
      <c r="BD28">
        <v>3.49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20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8991</v>
      </c>
      <c r="BY28">
        <v>0</v>
      </c>
      <c r="BZ28">
        <v>0</v>
      </c>
      <c r="CA28">
        <v>0</v>
      </c>
      <c r="CB28">
        <v>0</v>
      </c>
      <c r="CC28">
        <v>3.5</v>
      </c>
      <c r="CD28">
        <v>3.9</v>
      </c>
      <c r="CE28">
        <v>3.4</v>
      </c>
      <c r="CF28">
        <v>3.6</v>
      </c>
      <c r="CG28">
        <v>6</v>
      </c>
      <c r="CH28">
        <v>5.1666666666666599</v>
      </c>
      <c r="CI28">
        <v>6</v>
      </c>
      <c r="CJ28">
        <v>5.1666666666666599</v>
      </c>
      <c r="CK28">
        <v>1.2</v>
      </c>
      <c r="CL28">
        <v>0</v>
      </c>
      <c r="CM28">
        <v>0</v>
      </c>
      <c r="CN28">
        <v>18</v>
      </c>
      <c r="CO28">
        <v>0</v>
      </c>
      <c r="CP28">
        <v>8</v>
      </c>
      <c r="CQ28">
        <v>1.3333333333333299</v>
      </c>
      <c r="CR28">
        <v>26</v>
      </c>
      <c r="CS28">
        <v>24</v>
      </c>
      <c r="CT28">
        <v>29</v>
      </c>
      <c r="CU28" s="1">
        <v>27</v>
      </c>
      <c r="CV28" s="1">
        <v>31</v>
      </c>
      <c r="CW28">
        <v>41</v>
      </c>
      <c r="CX28">
        <v>60</v>
      </c>
      <c r="CY28">
        <v>48</v>
      </c>
      <c r="CZ28">
        <v>60</v>
      </c>
      <c r="DA28">
        <v>14</v>
      </c>
      <c r="DB28">
        <v>60</v>
      </c>
      <c r="DC28">
        <v>0</v>
      </c>
      <c r="DD28">
        <v>0</v>
      </c>
      <c r="DE28">
        <v>6</v>
      </c>
      <c r="DF28">
        <v>1</v>
      </c>
      <c r="DG28">
        <v>45006</v>
      </c>
      <c r="DH28">
        <v>21740</v>
      </c>
      <c r="DI28">
        <v>63.7</v>
      </c>
      <c r="DJ28">
        <v>4</v>
      </c>
      <c r="DK28">
        <v>1</v>
      </c>
      <c r="DL28">
        <v>6</v>
      </c>
      <c r="DM28">
        <v>0</v>
      </c>
      <c r="DN28">
        <v>0</v>
      </c>
      <c r="DO28">
        <v>2</v>
      </c>
      <c r="DP28">
        <v>28</v>
      </c>
      <c r="DQ28">
        <v>3.3888888888888999</v>
      </c>
      <c r="DR28">
        <v>11</v>
      </c>
      <c r="DS28">
        <v>999</v>
      </c>
      <c r="DT28">
        <v>8</v>
      </c>
      <c r="DU28">
        <v>12</v>
      </c>
      <c r="DV28">
        <v>999</v>
      </c>
      <c r="DW28">
        <v>12</v>
      </c>
      <c r="DY28">
        <v>5</v>
      </c>
      <c r="DZ28">
        <v>5</v>
      </c>
      <c r="EA28">
        <v>8</v>
      </c>
      <c r="EB28">
        <v>5</v>
      </c>
      <c r="EC28" t="s">
        <v>133</v>
      </c>
      <c r="ED28" t="s">
        <v>133</v>
      </c>
      <c r="EE28" t="s">
        <v>133</v>
      </c>
      <c r="EF28">
        <v>1</v>
      </c>
      <c r="EG28">
        <v>8520</v>
      </c>
      <c r="EH28">
        <v>8</v>
      </c>
      <c r="EI28">
        <v>0</v>
      </c>
      <c r="EJ28" t="s">
        <v>133</v>
      </c>
      <c r="EK28" t="s">
        <v>133</v>
      </c>
      <c r="EL28" t="s">
        <v>133</v>
      </c>
      <c r="EM28" t="s">
        <v>133</v>
      </c>
      <c r="EN28" t="s">
        <v>133</v>
      </c>
      <c r="EO28" t="s">
        <v>133</v>
      </c>
      <c r="EP28" t="s">
        <v>133</v>
      </c>
      <c r="EQ28" t="s">
        <v>133</v>
      </c>
      <c r="ER28">
        <v>0</v>
      </c>
      <c r="ES28" t="s">
        <v>133</v>
      </c>
    </row>
    <row r="29" spans="1:149" x14ac:dyDescent="0.2">
      <c r="A29">
        <v>10652</v>
      </c>
      <c r="B29">
        <v>70.05</v>
      </c>
      <c r="C29">
        <f t="shared" si="0"/>
        <v>26.99758620689655</v>
      </c>
      <c r="D29">
        <v>3</v>
      </c>
      <c r="E29">
        <f t="shared" si="1"/>
        <v>-7.9310344827586032E-2</v>
      </c>
      <c r="F29">
        <v>0</v>
      </c>
      <c r="G29">
        <f t="shared" si="2"/>
        <v>-7.431034482758621</v>
      </c>
      <c r="H29">
        <v>5</v>
      </c>
      <c r="I29">
        <f t="shared" si="3"/>
        <v>-2.1411878715814456</v>
      </c>
      <c r="J29">
        <f t="shared" si="4"/>
        <v>-200.61999405469678</v>
      </c>
      <c r="K29">
        <f t="shared" si="5"/>
        <v>0.58935790725326864</v>
      </c>
      <c r="L29">
        <f t="shared" si="6"/>
        <v>15.91124090778626</v>
      </c>
      <c r="M29">
        <v>120253</v>
      </c>
      <c r="N29">
        <v>4</v>
      </c>
      <c r="O29">
        <v>4.7142860000000004</v>
      </c>
      <c r="P29">
        <v>4</v>
      </c>
      <c r="Q29">
        <v>4.6153849999999998</v>
      </c>
      <c r="R29">
        <v>5.1428570000000002</v>
      </c>
      <c r="S29">
        <v>5.0769229999999999</v>
      </c>
      <c r="T29" t="s">
        <v>136</v>
      </c>
      <c r="U29" t="s">
        <v>132</v>
      </c>
      <c r="V29">
        <v>4.4400000000000004</v>
      </c>
      <c r="W29">
        <v>4.1100000000000003</v>
      </c>
      <c r="X29">
        <v>1</v>
      </c>
      <c r="Y29">
        <v>0</v>
      </c>
      <c r="Z29">
        <v>0</v>
      </c>
      <c r="AA29">
        <v>6.83</v>
      </c>
      <c r="AB29">
        <v>5.5</v>
      </c>
      <c r="AC29">
        <v>6.38</v>
      </c>
      <c r="AD29">
        <v>5.33</v>
      </c>
      <c r="AE29">
        <v>6.1</v>
      </c>
      <c r="AF29">
        <v>1</v>
      </c>
      <c r="AG29">
        <v>1</v>
      </c>
      <c r="AH29">
        <v>0</v>
      </c>
      <c r="AI29">
        <v>0</v>
      </c>
      <c r="AJ29">
        <v>0</v>
      </c>
      <c r="AK29">
        <v>2</v>
      </c>
      <c r="AL29">
        <v>3</v>
      </c>
      <c r="AM29">
        <v>6</v>
      </c>
      <c r="AN29">
        <v>1</v>
      </c>
      <c r="AO29">
        <v>3</v>
      </c>
      <c r="AP29">
        <v>15</v>
      </c>
      <c r="AQ29">
        <v>26</v>
      </c>
      <c r="AR29">
        <v>10</v>
      </c>
      <c r="AS29">
        <v>0</v>
      </c>
      <c r="AT29">
        <v>0</v>
      </c>
      <c r="AU29">
        <v>6.92</v>
      </c>
      <c r="AV29">
        <v>6.75</v>
      </c>
      <c r="AW29">
        <v>7</v>
      </c>
      <c r="AX29">
        <v>7</v>
      </c>
      <c r="AZ29">
        <v>6</v>
      </c>
      <c r="BA29">
        <v>3.33</v>
      </c>
      <c r="BC29">
        <v>2.33</v>
      </c>
      <c r="BD29">
        <v>3.29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20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8991</v>
      </c>
      <c r="BY29">
        <v>0</v>
      </c>
      <c r="BZ29">
        <v>0</v>
      </c>
      <c r="CA29">
        <v>0</v>
      </c>
      <c r="CB29">
        <v>0</v>
      </c>
      <c r="CC29">
        <v>4</v>
      </c>
      <c r="CD29">
        <v>3.8</v>
      </c>
      <c r="CE29">
        <v>4</v>
      </c>
      <c r="CF29">
        <v>3.93</v>
      </c>
      <c r="CG29">
        <v>6</v>
      </c>
      <c r="CH29">
        <v>5.1666666666666599</v>
      </c>
      <c r="CI29">
        <v>4.5</v>
      </c>
      <c r="CJ29">
        <v>4.3333333333333304</v>
      </c>
      <c r="CK29">
        <v>1</v>
      </c>
      <c r="CL29">
        <v>0</v>
      </c>
      <c r="CM29">
        <v>0</v>
      </c>
      <c r="CN29">
        <v>20</v>
      </c>
      <c r="CO29">
        <v>0</v>
      </c>
      <c r="CP29">
        <v>7</v>
      </c>
      <c r="CQ29">
        <v>0.77777777777777701</v>
      </c>
      <c r="CR29">
        <v>24</v>
      </c>
      <c r="CS29">
        <v>24</v>
      </c>
      <c r="CT29">
        <v>38</v>
      </c>
      <c r="CU29" s="1">
        <v>25</v>
      </c>
      <c r="CV29" s="1">
        <v>27</v>
      </c>
      <c r="CW29">
        <v>48</v>
      </c>
      <c r="CX29">
        <v>60</v>
      </c>
      <c r="CY29">
        <v>48</v>
      </c>
      <c r="CZ29">
        <v>60</v>
      </c>
      <c r="DA29">
        <v>43</v>
      </c>
      <c r="DB29">
        <v>60</v>
      </c>
      <c r="DC29">
        <v>0</v>
      </c>
      <c r="DD29">
        <v>0</v>
      </c>
      <c r="DE29">
        <v>2</v>
      </c>
      <c r="DF29">
        <v>1</v>
      </c>
      <c r="DG29">
        <v>45013</v>
      </c>
      <c r="DH29">
        <v>19490</v>
      </c>
      <c r="DI29">
        <v>69.88</v>
      </c>
      <c r="DJ29">
        <v>1</v>
      </c>
      <c r="DK29">
        <v>1</v>
      </c>
      <c r="DL29">
        <v>0</v>
      </c>
      <c r="DM29">
        <v>0</v>
      </c>
      <c r="DN29">
        <v>0</v>
      </c>
      <c r="DO29">
        <v>1</v>
      </c>
      <c r="DP29">
        <v>36</v>
      </c>
      <c r="DQ29">
        <v>2.2222222222222001</v>
      </c>
      <c r="DR29">
        <v>9</v>
      </c>
      <c r="DS29">
        <v>999</v>
      </c>
      <c r="DT29">
        <v>6</v>
      </c>
      <c r="DU29">
        <v>1</v>
      </c>
      <c r="DV29">
        <v>999</v>
      </c>
      <c r="DW29">
        <v>8</v>
      </c>
      <c r="DY29">
        <v>5</v>
      </c>
      <c r="DZ29">
        <v>3</v>
      </c>
      <c r="EA29">
        <v>7</v>
      </c>
      <c r="EB29">
        <v>5</v>
      </c>
      <c r="EC29" t="s">
        <v>133</v>
      </c>
      <c r="ED29" t="s">
        <v>133</v>
      </c>
      <c r="EE29" t="s">
        <v>133</v>
      </c>
      <c r="EF29">
        <v>1</v>
      </c>
      <c r="EG29">
        <v>19038</v>
      </c>
      <c r="EH29">
        <v>7</v>
      </c>
      <c r="EI29">
        <v>0</v>
      </c>
      <c r="EJ29" t="s">
        <v>133</v>
      </c>
      <c r="EK29" t="s">
        <v>133</v>
      </c>
      <c r="EL29" t="s">
        <v>133</v>
      </c>
      <c r="EM29" t="s">
        <v>133</v>
      </c>
      <c r="EN29" t="s">
        <v>133</v>
      </c>
      <c r="EO29" t="s">
        <v>133</v>
      </c>
      <c r="EP29" t="s">
        <v>133</v>
      </c>
      <c r="EQ29" t="s">
        <v>133</v>
      </c>
      <c r="ER29">
        <v>0</v>
      </c>
      <c r="ES29" t="s">
        <v>133</v>
      </c>
    </row>
    <row r="30" spans="1:149" x14ac:dyDescent="0.2">
      <c r="A30">
        <v>10656</v>
      </c>
      <c r="B30">
        <v>21.43</v>
      </c>
      <c r="C30">
        <f t="shared" si="0"/>
        <v>-21.622413793103448</v>
      </c>
      <c r="D30">
        <v>2.8</v>
      </c>
      <c r="E30">
        <f t="shared" si="1"/>
        <v>-0.27931034482758621</v>
      </c>
      <c r="F30">
        <v>12</v>
      </c>
      <c r="G30">
        <f t="shared" si="2"/>
        <v>4.568965517241379</v>
      </c>
      <c r="H30">
        <v>3.4166666666666599</v>
      </c>
      <c r="I30">
        <f t="shared" si="3"/>
        <v>6.0393638525564803</v>
      </c>
      <c r="J30">
        <f t="shared" si="4"/>
        <v>-98.792063020214016</v>
      </c>
      <c r="K30">
        <f t="shared" si="5"/>
        <v>-1.2761593341260404</v>
      </c>
      <c r="L30">
        <f t="shared" si="6"/>
        <v>27.593645188404608</v>
      </c>
      <c r="M30">
        <v>181801</v>
      </c>
      <c r="N30">
        <v>2.5</v>
      </c>
      <c r="O30">
        <v>2.5714290000000002</v>
      </c>
      <c r="P30">
        <v>3.0909089999999999</v>
      </c>
      <c r="Q30">
        <v>2.9090910000000001</v>
      </c>
      <c r="R30">
        <v>3.0909089999999999</v>
      </c>
      <c r="S30">
        <v>2.9230770000000001</v>
      </c>
      <c r="T30" t="s">
        <v>135</v>
      </c>
      <c r="U30" t="s">
        <v>134</v>
      </c>
      <c r="V30">
        <v>5</v>
      </c>
      <c r="W30">
        <v>4.2</v>
      </c>
      <c r="X30">
        <v>3</v>
      </c>
      <c r="Y30">
        <v>4</v>
      </c>
      <c r="Z30">
        <v>0</v>
      </c>
      <c r="AA30">
        <v>6.67</v>
      </c>
      <c r="AB30">
        <v>5.33</v>
      </c>
      <c r="AC30">
        <v>4.38</v>
      </c>
      <c r="AD30">
        <v>3.17</v>
      </c>
      <c r="AE30">
        <v>4.53</v>
      </c>
      <c r="AF30">
        <v>24</v>
      </c>
      <c r="AG30">
        <v>3</v>
      </c>
      <c r="AH30">
        <v>14</v>
      </c>
      <c r="AI30">
        <v>3</v>
      </c>
      <c r="AJ30">
        <v>4</v>
      </c>
      <c r="AK30">
        <v>5</v>
      </c>
      <c r="AL30">
        <v>6</v>
      </c>
      <c r="AM30">
        <v>0</v>
      </c>
      <c r="AN30">
        <v>8</v>
      </c>
      <c r="AO30">
        <v>4</v>
      </c>
      <c r="AP30">
        <v>23</v>
      </c>
      <c r="AQ30">
        <v>39</v>
      </c>
      <c r="AR30">
        <v>12</v>
      </c>
      <c r="AS30">
        <v>0</v>
      </c>
      <c r="AT30">
        <v>0</v>
      </c>
      <c r="AU30">
        <v>6.83</v>
      </c>
      <c r="AV30">
        <v>7</v>
      </c>
      <c r="AW30">
        <v>7</v>
      </c>
      <c r="AX30">
        <v>6.5</v>
      </c>
      <c r="AZ30">
        <v>10</v>
      </c>
      <c r="BA30">
        <v>4.58</v>
      </c>
      <c r="BC30">
        <v>2.67</v>
      </c>
      <c r="BD30">
        <v>4.74</v>
      </c>
      <c r="BE30">
        <v>0.1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20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8991</v>
      </c>
      <c r="BY30">
        <v>0</v>
      </c>
      <c r="BZ30">
        <v>0</v>
      </c>
      <c r="CA30">
        <v>0</v>
      </c>
      <c r="CB30">
        <v>0</v>
      </c>
      <c r="CC30">
        <v>3.5</v>
      </c>
      <c r="CD30">
        <v>2.6</v>
      </c>
      <c r="CE30">
        <v>2.8</v>
      </c>
      <c r="CF30">
        <v>2.97</v>
      </c>
      <c r="CG30">
        <v>5.8333333333333304</v>
      </c>
      <c r="CH30">
        <v>6</v>
      </c>
      <c r="CI30">
        <v>6</v>
      </c>
      <c r="CJ30">
        <v>2.6666666666666599</v>
      </c>
      <c r="CK30">
        <v>1.75</v>
      </c>
      <c r="CL30">
        <v>0</v>
      </c>
      <c r="CM30">
        <v>0</v>
      </c>
      <c r="CN30">
        <v>12</v>
      </c>
      <c r="CO30">
        <v>20</v>
      </c>
      <c r="CP30">
        <v>0</v>
      </c>
      <c r="CQ30">
        <v>0</v>
      </c>
      <c r="CR30">
        <v>12</v>
      </c>
      <c r="CS30">
        <v>35</v>
      </c>
      <c r="CT30">
        <v>41</v>
      </c>
      <c r="CU30" s="1">
        <v>21</v>
      </c>
      <c r="CV30" s="1">
        <v>32</v>
      </c>
      <c r="CW30">
        <v>45</v>
      </c>
      <c r="CX30">
        <v>60</v>
      </c>
      <c r="CY30">
        <v>48</v>
      </c>
      <c r="CZ30">
        <v>60</v>
      </c>
      <c r="DA30">
        <v>44</v>
      </c>
      <c r="DB30">
        <v>60</v>
      </c>
      <c r="DC30">
        <v>0</v>
      </c>
      <c r="DD30">
        <v>0</v>
      </c>
      <c r="DE30">
        <v>7</v>
      </c>
      <c r="DF30">
        <v>2</v>
      </c>
      <c r="DG30">
        <v>45013</v>
      </c>
      <c r="DH30">
        <v>37204</v>
      </c>
      <c r="DI30">
        <v>21.38</v>
      </c>
      <c r="DJ30">
        <v>3</v>
      </c>
      <c r="DK30">
        <v>0</v>
      </c>
      <c r="DL30">
        <v>0</v>
      </c>
      <c r="DM30">
        <v>0</v>
      </c>
      <c r="DN30">
        <v>2</v>
      </c>
      <c r="DO30">
        <v>8</v>
      </c>
      <c r="DP30">
        <v>0</v>
      </c>
      <c r="DQ30">
        <v>1.8333333333333299</v>
      </c>
      <c r="DR30">
        <v>6</v>
      </c>
      <c r="DS30">
        <v>999</v>
      </c>
      <c r="DT30">
        <v>4</v>
      </c>
      <c r="DU30">
        <v>0</v>
      </c>
      <c r="DV30">
        <v>999</v>
      </c>
      <c r="DW30">
        <v>6</v>
      </c>
      <c r="DY30">
        <v>1</v>
      </c>
      <c r="DZ30">
        <v>1</v>
      </c>
      <c r="EA30">
        <v>5</v>
      </c>
      <c r="EB30">
        <v>1</v>
      </c>
      <c r="EC30" t="s">
        <v>133</v>
      </c>
      <c r="ED30" t="s">
        <v>133</v>
      </c>
      <c r="EE30" t="s">
        <v>133</v>
      </c>
      <c r="EF30">
        <v>1</v>
      </c>
      <c r="EG30" t="s">
        <v>133</v>
      </c>
      <c r="EH30">
        <v>5</v>
      </c>
      <c r="EI30">
        <v>1</v>
      </c>
      <c r="EJ30" t="s">
        <v>133</v>
      </c>
      <c r="EK30" t="s">
        <v>133</v>
      </c>
      <c r="EL30" t="s">
        <v>133</v>
      </c>
      <c r="EM30" t="s">
        <v>133</v>
      </c>
      <c r="EN30" t="s">
        <v>133</v>
      </c>
      <c r="EO30" t="s">
        <v>133</v>
      </c>
      <c r="EP30" t="s">
        <v>133</v>
      </c>
      <c r="EQ30" t="s">
        <v>133</v>
      </c>
      <c r="ER30" t="s">
        <v>133</v>
      </c>
      <c r="ES30" t="s">
        <v>133</v>
      </c>
    </row>
    <row r="31" spans="1:149" x14ac:dyDescent="0.2">
      <c r="A31">
        <v>10657</v>
      </c>
      <c r="B31">
        <v>58.98</v>
      </c>
      <c r="C31">
        <f t="shared" si="0"/>
        <v>15.927586206896549</v>
      </c>
      <c r="D31">
        <v>2.2999999999999998</v>
      </c>
      <c r="E31">
        <f t="shared" si="1"/>
        <v>-0.77931034482758621</v>
      </c>
      <c r="F31">
        <v>10</v>
      </c>
      <c r="G31">
        <f t="shared" si="2"/>
        <v>2.568965517241379</v>
      </c>
      <c r="H31">
        <v>3.75</v>
      </c>
      <c r="I31">
        <f t="shared" si="3"/>
        <v>-12.412532699167656</v>
      </c>
      <c r="J31">
        <f t="shared" si="4"/>
        <v>40.91741973840665</v>
      </c>
      <c r="K31">
        <f t="shared" si="5"/>
        <v>-2.0020214030915575</v>
      </c>
      <c r="L31">
        <f t="shared" si="6"/>
        <v>-31.887368485792766</v>
      </c>
      <c r="M31">
        <v>22364</v>
      </c>
      <c r="N31" t="s">
        <v>133</v>
      </c>
      <c r="O31" t="s">
        <v>133</v>
      </c>
      <c r="P31" t="s">
        <v>133</v>
      </c>
      <c r="Q31" t="s">
        <v>133</v>
      </c>
      <c r="R31" t="s">
        <v>133</v>
      </c>
      <c r="S31" t="s">
        <v>133</v>
      </c>
      <c r="T31" t="s">
        <v>131</v>
      </c>
      <c r="U31" t="s">
        <v>134</v>
      </c>
      <c r="V31">
        <v>4.33</v>
      </c>
      <c r="W31">
        <v>3.8</v>
      </c>
      <c r="X31">
        <v>7</v>
      </c>
      <c r="Y31">
        <v>1</v>
      </c>
      <c r="Z31">
        <v>0</v>
      </c>
      <c r="AA31">
        <v>5.33</v>
      </c>
      <c r="AB31">
        <v>5.83</v>
      </c>
      <c r="AC31">
        <v>5.5</v>
      </c>
      <c r="AD31">
        <v>5.5</v>
      </c>
      <c r="AE31">
        <v>5.47</v>
      </c>
      <c r="AF31">
        <v>9</v>
      </c>
      <c r="AG31">
        <v>2</v>
      </c>
      <c r="AH31">
        <v>2</v>
      </c>
      <c r="AI31">
        <v>1</v>
      </c>
      <c r="AJ31">
        <v>4</v>
      </c>
      <c r="AK31">
        <v>5</v>
      </c>
      <c r="AL31">
        <v>3</v>
      </c>
      <c r="AM31">
        <v>8</v>
      </c>
      <c r="AN31">
        <v>7</v>
      </c>
      <c r="AO31">
        <v>1</v>
      </c>
      <c r="AP31">
        <v>24</v>
      </c>
      <c r="AQ31">
        <v>36</v>
      </c>
      <c r="AR31">
        <v>10</v>
      </c>
      <c r="AS31">
        <v>0</v>
      </c>
      <c r="AT31">
        <v>0</v>
      </c>
      <c r="AU31">
        <v>5.33</v>
      </c>
      <c r="AV31">
        <v>4.75</v>
      </c>
      <c r="AW31">
        <v>5</v>
      </c>
      <c r="AX31">
        <v>6.25</v>
      </c>
      <c r="AZ31">
        <v>13</v>
      </c>
      <c r="BA31">
        <v>2.5</v>
      </c>
      <c r="BC31">
        <v>2.5</v>
      </c>
      <c r="BD31">
        <v>3.03</v>
      </c>
      <c r="BE31">
        <v>50.1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20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8991</v>
      </c>
      <c r="BY31">
        <v>0</v>
      </c>
      <c r="BZ31">
        <v>0</v>
      </c>
      <c r="CA31">
        <v>0</v>
      </c>
      <c r="CB31">
        <v>0</v>
      </c>
      <c r="CC31">
        <v>3.7</v>
      </c>
      <c r="CD31">
        <v>3.5</v>
      </c>
      <c r="CE31">
        <v>3.6</v>
      </c>
      <c r="CF31">
        <v>3.6</v>
      </c>
      <c r="CG31">
        <v>6</v>
      </c>
      <c r="CH31">
        <v>2.6666666666666599</v>
      </c>
      <c r="CI31">
        <v>6</v>
      </c>
      <c r="CJ31">
        <v>6</v>
      </c>
      <c r="CK31">
        <v>1.1000000000000001</v>
      </c>
      <c r="CL31">
        <v>0</v>
      </c>
      <c r="CM31">
        <v>0</v>
      </c>
      <c r="CN31">
        <v>19</v>
      </c>
      <c r="CO31">
        <v>27</v>
      </c>
      <c r="CP31">
        <v>7</v>
      </c>
      <c r="CQ31">
        <v>0.7</v>
      </c>
      <c r="CR31">
        <v>26</v>
      </c>
      <c r="CS31">
        <v>37</v>
      </c>
      <c r="CT31">
        <v>31</v>
      </c>
      <c r="CU31" s="1">
        <v>26</v>
      </c>
      <c r="CV31" s="1">
        <v>32</v>
      </c>
      <c r="CW31">
        <v>45</v>
      </c>
      <c r="CX31">
        <v>60</v>
      </c>
      <c r="CY31">
        <v>36</v>
      </c>
      <c r="CZ31">
        <v>60</v>
      </c>
      <c r="DA31">
        <v>30</v>
      </c>
      <c r="DB31">
        <v>60</v>
      </c>
      <c r="DC31">
        <v>0</v>
      </c>
      <c r="DD31">
        <v>0</v>
      </c>
      <c r="DE31">
        <v>4</v>
      </c>
      <c r="DF31">
        <v>1</v>
      </c>
      <c r="DG31">
        <v>45013</v>
      </c>
      <c r="DH31">
        <v>23497</v>
      </c>
      <c r="DI31">
        <v>58.91</v>
      </c>
      <c r="DJ31">
        <v>4</v>
      </c>
      <c r="DK31">
        <v>0</v>
      </c>
      <c r="DL31">
        <v>4</v>
      </c>
      <c r="DM31">
        <v>2</v>
      </c>
      <c r="DN31">
        <v>1</v>
      </c>
      <c r="DO31">
        <v>4</v>
      </c>
      <c r="DP31">
        <v>28</v>
      </c>
      <c r="DQ31">
        <v>1.3888888888888999</v>
      </c>
      <c r="DR31">
        <v>4</v>
      </c>
      <c r="DS31">
        <v>999</v>
      </c>
      <c r="DT31">
        <v>4</v>
      </c>
      <c r="DU31">
        <v>2</v>
      </c>
      <c r="DV31">
        <v>999</v>
      </c>
      <c r="DW31">
        <v>5</v>
      </c>
      <c r="DY31">
        <v>4</v>
      </c>
      <c r="DZ31">
        <v>3</v>
      </c>
      <c r="EA31">
        <v>6</v>
      </c>
      <c r="EB31">
        <v>4</v>
      </c>
      <c r="EC31" t="s">
        <v>133</v>
      </c>
      <c r="ED31" t="s">
        <v>133</v>
      </c>
      <c r="EE31" t="s">
        <v>133</v>
      </c>
      <c r="EF31" t="s">
        <v>133</v>
      </c>
      <c r="EG31">
        <v>8110</v>
      </c>
      <c r="EH31">
        <v>6</v>
      </c>
      <c r="EI31">
        <v>0</v>
      </c>
      <c r="EJ31" t="s">
        <v>133</v>
      </c>
      <c r="EK31" t="s">
        <v>133</v>
      </c>
      <c r="EL31" t="s">
        <v>133</v>
      </c>
      <c r="EM31" t="s">
        <v>133</v>
      </c>
      <c r="EN31" t="s">
        <v>133</v>
      </c>
      <c r="EO31" t="s">
        <v>133</v>
      </c>
      <c r="EP31" t="s">
        <v>133</v>
      </c>
      <c r="EQ31" t="s">
        <v>133</v>
      </c>
      <c r="ER31">
        <v>0</v>
      </c>
      <c r="ES31" t="s">
        <v>133</v>
      </c>
    </row>
    <row r="32" spans="1:149" x14ac:dyDescent="0.2">
      <c r="A32">
        <v>10659</v>
      </c>
      <c r="B32">
        <v>62.39</v>
      </c>
      <c r="C32">
        <f t="shared" si="0"/>
        <v>19.337586206896553</v>
      </c>
      <c r="D32">
        <v>3.8</v>
      </c>
      <c r="E32">
        <f t="shared" si="1"/>
        <v>0.72068965517241379</v>
      </c>
      <c r="F32">
        <v>0</v>
      </c>
      <c r="G32">
        <f t="shared" si="2"/>
        <v>-7.431034482758621</v>
      </c>
      <c r="H32">
        <v>3.8333333333333299</v>
      </c>
      <c r="I32">
        <f t="shared" si="3"/>
        <v>13.936398335315102</v>
      </c>
      <c r="J32">
        <f t="shared" si="4"/>
        <v>-143.69826991676578</v>
      </c>
      <c r="K32">
        <f t="shared" si="5"/>
        <v>-5.3554696789536269</v>
      </c>
      <c r="L32">
        <f t="shared" si="6"/>
        <v>-103.56185659518637</v>
      </c>
      <c r="M32">
        <v>181861</v>
      </c>
      <c r="N32">
        <v>5.8571429999999998</v>
      </c>
      <c r="O32">
        <v>5.8333329999999997</v>
      </c>
      <c r="P32">
        <v>6.1538459999999997</v>
      </c>
      <c r="Q32">
        <v>5.538462</v>
      </c>
      <c r="R32">
        <v>5</v>
      </c>
      <c r="S32">
        <v>5.1666670000000003</v>
      </c>
      <c r="T32" t="s">
        <v>135</v>
      </c>
      <c r="U32" t="s">
        <v>132</v>
      </c>
      <c r="V32">
        <v>4.22</v>
      </c>
      <c r="W32">
        <v>3.3</v>
      </c>
      <c r="X32">
        <v>0</v>
      </c>
      <c r="Y32">
        <v>0</v>
      </c>
      <c r="Z32">
        <v>0</v>
      </c>
      <c r="AA32">
        <v>6.5</v>
      </c>
      <c r="AB32">
        <v>5.33</v>
      </c>
      <c r="AC32">
        <v>6.25</v>
      </c>
      <c r="AD32">
        <v>5.83</v>
      </c>
      <c r="AE32">
        <v>6</v>
      </c>
      <c r="AF32">
        <v>11</v>
      </c>
      <c r="AG32">
        <v>0</v>
      </c>
      <c r="AH32">
        <v>4</v>
      </c>
      <c r="AI32">
        <v>1</v>
      </c>
      <c r="AJ32">
        <v>6</v>
      </c>
      <c r="AK32">
        <v>3</v>
      </c>
      <c r="AL32">
        <v>2</v>
      </c>
      <c r="AM32">
        <v>4</v>
      </c>
      <c r="AN32">
        <v>1</v>
      </c>
      <c r="AO32">
        <v>2</v>
      </c>
      <c r="AP32">
        <v>12</v>
      </c>
      <c r="AQ32">
        <v>34</v>
      </c>
      <c r="AR32">
        <v>9</v>
      </c>
      <c r="AS32">
        <v>1</v>
      </c>
      <c r="AT32">
        <v>0</v>
      </c>
      <c r="AU32">
        <v>6.33</v>
      </c>
      <c r="AV32">
        <v>6</v>
      </c>
      <c r="AW32">
        <v>6.25</v>
      </c>
      <c r="AX32">
        <v>6.75</v>
      </c>
      <c r="AZ32">
        <v>15</v>
      </c>
      <c r="BA32">
        <v>2</v>
      </c>
      <c r="BC32">
        <v>3</v>
      </c>
      <c r="BD32">
        <v>9999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20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8991</v>
      </c>
      <c r="BY32">
        <v>0</v>
      </c>
      <c r="BZ32">
        <v>0</v>
      </c>
      <c r="CA32">
        <v>0</v>
      </c>
      <c r="CB32">
        <v>0</v>
      </c>
      <c r="CC32">
        <v>3.6</v>
      </c>
      <c r="CD32">
        <v>3.7</v>
      </c>
      <c r="CE32">
        <v>3.3</v>
      </c>
      <c r="CF32">
        <v>3.53</v>
      </c>
      <c r="CG32">
        <v>6</v>
      </c>
      <c r="CH32">
        <v>5.1666666666666599</v>
      </c>
      <c r="CI32">
        <v>3.6666666666666599</v>
      </c>
      <c r="CJ32">
        <v>5.1666666666666599</v>
      </c>
      <c r="CK32">
        <v>0.35</v>
      </c>
      <c r="CL32">
        <v>0</v>
      </c>
      <c r="CM32">
        <v>0</v>
      </c>
      <c r="CN32">
        <v>19</v>
      </c>
      <c r="CO32">
        <v>20</v>
      </c>
      <c r="CP32">
        <v>9</v>
      </c>
      <c r="CQ32">
        <v>1.28571428571428</v>
      </c>
      <c r="CR32">
        <v>25</v>
      </c>
      <c r="CS32">
        <v>22</v>
      </c>
      <c r="CT32">
        <v>31</v>
      </c>
      <c r="CU32" s="1">
        <v>23</v>
      </c>
      <c r="CV32" s="1">
        <v>31</v>
      </c>
      <c r="CW32">
        <v>37</v>
      </c>
      <c r="CX32">
        <v>60</v>
      </c>
      <c r="CY32">
        <v>29</v>
      </c>
      <c r="CZ32">
        <v>60</v>
      </c>
      <c r="DA32">
        <v>26</v>
      </c>
      <c r="DB32">
        <v>60</v>
      </c>
      <c r="DC32">
        <v>0</v>
      </c>
      <c r="DD32">
        <v>0</v>
      </c>
      <c r="DE32">
        <v>6</v>
      </c>
      <c r="DF32">
        <v>4</v>
      </c>
      <c r="DG32">
        <v>45014</v>
      </c>
      <c r="DH32">
        <v>22331</v>
      </c>
      <c r="DI32">
        <v>62.1</v>
      </c>
      <c r="DJ32">
        <v>3</v>
      </c>
      <c r="DK32">
        <v>1</v>
      </c>
      <c r="DL32">
        <v>0</v>
      </c>
      <c r="DM32">
        <v>0</v>
      </c>
      <c r="DN32">
        <v>3</v>
      </c>
      <c r="DO32">
        <v>13</v>
      </c>
      <c r="DP32">
        <v>27</v>
      </c>
      <c r="DQ32">
        <v>2.3333333333333002</v>
      </c>
      <c r="DR32">
        <v>11</v>
      </c>
      <c r="DS32">
        <v>999</v>
      </c>
      <c r="DT32">
        <v>6</v>
      </c>
      <c r="DU32">
        <v>3</v>
      </c>
      <c r="DV32">
        <v>999</v>
      </c>
      <c r="DW32">
        <v>8</v>
      </c>
      <c r="DY32">
        <v>5</v>
      </c>
      <c r="DZ32">
        <v>0</v>
      </c>
      <c r="EA32">
        <v>5</v>
      </c>
      <c r="EB32">
        <v>5</v>
      </c>
      <c r="EC32" t="s">
        <v>133</v>
      </c>
      <c r="ED32" t="s">
        <v>133</v>
      </c>
      <c r="EE32" t="s">
        <v>133</v>
      </c>
      <c r="EF32">
        <v>1</v>
      </c>
      <c r="EG32">
        <v>19144</v>
      </c>
      <c r="EH32">
        <v>5</v>
      </c>
      <c r="EI32">
        <v>0</v>
      </c>
      <c r="EJ32" t="s">
        <v>133</v>
      </c>
      <c r="EK32" t="s">
        <v>133</v>
      </c>
      <c r="EL32" t="s">
        <v>133</v>
      </c>
      <c r="EM32" t="s">
        <v>133</v>
      </c>
      <c r="EN32" t="s">
        <v>133</v>
      </c>
      <c r="EO32" t="s">
        <v>133</v>
      </c>
      <c r="EP32" t="s">
        <v>133</v>
      </c>
      <c r="EQ32" t="s">
        <v>133</v>
      </c>
      <c r="ER32">
        <v>0</v>
      </c>
      <c r="ES32" t="s">
        <v>133</v>
      </c>
    </row>
    <row r="33" spans="1:149" x14ac:dyDescent="0.2">
      <c r="A33">
        <v>10663</v>
      </c>
      <c r="B33">
        <v>22.07</v>
      </c>
      <c r="C33">
        <f t="shared" si="0"/>
        <v>-20.982413793103447</v>
      </c>
      <c r="D33">
        <v>4.3</v>
      </c>
      <c r="E33">
        <f t="shared" si="1"/>
        <v>1.2206896551724138</v>
      </c>
      <c r="F33">
        <v>12</v>
      </c>
      <c r="G33">
        <f t="shared" si="2"/>
        <v>4.568965517241379</v>
      </c>
      <c r="H33">
        <v>4.6666666666666599</v>
      </c>
      <c r="I33">
        <f t="shared" si="3"/>
        <v>-25.613015457788347</v>
      </c>
      <c r="J33">
        <f t="shared" si="4"/>
        <v>-95.867925089179536</v>
      </c>
      <c r="K33">
        <f t="shared" si="5"/>
        <v>5.5772889417360281</v>
      </c>
      <c r="L33">
        <f t="shared" si="6"/>
        <v>-117.02498441920537</v>
      </c>
      <c r="M33">
        <v>11201</v>
      </c>
      <c r="N33">
        <v>2.6</v>
      </c>
      <c r="O33">
        <v>3.75</v>
      </c>
      <c r="P33">
        <v>3</v>
      </c>
      <c r="Q33">
        <v>3.5714290000000002</v>
      </c>
      <c r="R33">
        <v>3.4</v>
      </c>
      <c r="S33">
        <v>4.6153849999999998</v>
      </c>
      <c r="T33" t="s">
        <v>131</v>
      </c>
      <c r="U33" t="s">
        <v>132</v>
      </c>
      <c r="V33">
        <v>4.4400000000000004</v>
      </c>
      <c r="W33">
        <v>4.0999999999999996</v>
      </c>
      <c r="X33">
        <v>3</v>
      </c>
      <c r="Y33">
        <v>9</v>
      </c>
      <c r="Z33">
        <v>0</v>
      </c>
      <c r="AA33">
        <v>6.17</v>
      </c>
      <c r="AB33">
        <v>4</v>
      </c>
      <c r="AC33">
        <v>4</v>
      </c>
      <c r="AD33">
        <v>4.67</v>
      </c>
      <c r="AE33">
        <v>4.7</v>
      </c>
      <c r="AF33">
        <v>48</v>
      </c>
      <c r="AG33">
        <v>16</v>
      </c>
      <c r="AH33">
        <v>18</v>
      </c>
      <c r="AI33">
        <v>1</v>
      </c>
      <c r="AJ33">
        <v>13</v>
      </c>
      <c r="AK33">
        <v>3</v>
      </c>
      <c r="AL33">
        <v>7</v>
      </c>
      <c r="AM33">
        <v>2</v>
      </c>
      <c r="AN33">
        <v>4</v>
      </c>
      <c r="AO33">
        <v>2</v>
      </c>
      <c r="AP33">
        <v>18</v>
      </c>
      <c r="AQ33">
        <v>27</v>
      </c>
      <c r="AR33">
        <v>11</v>
      </c>
      <c r="AS33">
        <v>0</v>
      </c>
      <c r="AT33">
        <v>0</v>
      </c>
      <c r="AU33">
        <v>6.42</v>
      </c>
      <c r="AV33">
        <v>6.75</v>
      </c>
      <c r="AW33">
        <v>5.5</v>
      </c>
      <c r="AX33">
        <v>7</v>
      </c>
      <c r="AZ33">
        <v>15</v>
      </c>
      <c r="BA33">
        <v>4.33</v>
      </c>
      <c r="BC33">
        <v>2.83</v>
      </c>
      <c r="BD33">
        <v>4.37</v>
      </c>
      <c r="BE33">
        <v>20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20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8991</v>
      </c>
      <c r="BY33">
        <v>0</v>
      </c>
      <c r="BZ33">
        <v>0</v>
      </c>
      <c r="CA33">
        <v>0</v>
      </c>
      <c r="CB33">
        <v>0</v>
      </c>
      <c r="CC33">
        <v>3.9</v>
      </c>
      <c r="CD33">
        <v>4.0999999999999996</v>
      </c>
      <c r="CE33">
        <v>4.2</v>
      </c>
      <c r="CF33">
        <v>4.07</v>
      </c>
      <c r="CG33">
        <v>3</v>
      </c>
      <c r="CH33">
        <v>2.1666666666666599</v>
      </c>
      <c r="CI33">
        <v>1.1666666666666601</v>
      </c>
      <c r="CJ33">
        <v>1.1666666666666601</v>
      </c>
      <c r="CK33">
        <v>3.15</v>
      </c>
      <c r="CL33">
        <v>0</v>
      </c>
      <c r="CM33">
        <v>0</v>
      </c>
      <c r="CN33">
        <v>25</v>
      </c>
      <c r="CO33">
        <v>23</v>
      </c>
      <c r="CP33">
        <v>11</v>
      </c>
      <c r="CQ33">
        <v>1</v>
      </c>
      <c r="CR33">
        <v>35</v>
      </c>
      <c r="CS33">
        <v>37</v>
      </c>
      <c r="CT33">
        <v>34</v>
      </c>
      <c r="CU33" s="1">
        <v>21</v>
      </c>
      <c r="CV33" s="1">
        <v>32</v>
      </c>
      <c r="CW33">
        <v>44</v>
      </c>
      <c r="CX33">
        <v>60</v>
      </c>
      <c r="CY33">
        <v>40</v>
      </c>
      <c r="CZ33">
        <v>60</v>
      </c>
      <c r="DA33">
        <v>48</v>
      </c>
      <c r="DB33">
        <v>60</v>
      </c>
      <c r="DC33">
        <v>0</v>
      </c>
      <c r="DD33">
        <v>0</v>
      </c>
      <c r="DE33">
        <v>7</v>
      </c>
      <c r="DF33">
        <v>1</v>
      </c>
      <c r="DG33">
        <v>45016</v>
      </c>
      <c r="DH33">
        <v>36973</v>
      </c>
      <c r="DI33">
        <v>22.02</v>
      </c>
      <c r="DJ33">
        <v>4</v>
      </c>
      <c r="DK33">
        <v>1</v>
      </c>
      <c r="DL33">
        <v>22</v>
      </c>
      <c r="DM33">
        <v>32</v>
      </c>
      <c r="DN33">
        <v>3</v>
      </c>
      <c r="DO33">
        <v>15</v>
      </c>
      <c r="DP33">
        <v>24</v>
      </c>
      <c r="DQ33">
        <v>3.8125</v>
      </c>
      <c r="DR33">
        <v>12</v>
      </c>
      <c r="DS33">
        <v>3</v>
      </c>
      <c r="DT33">
        <v>11</v>
      </c>
      <c r="DU33">
        <v>8</v>
      </c>
      <c r="DV33">
        <v>15</v>
      </c>
      <c r="DW33">
        <v>12</v>
      </c>
      <c r="DY33">
        <v>4</v>
      </c>
      <c r="DZ33">
        <v>2</v>
      </c>
      <c r="EA33">
        <v>5</v>
      </c>
      <c r="EB33">
        <v>4</v>
      </c>
      <c r="EC33" t="s">
        <v>133</v>
      </c>
      <c r="ED33" t="s">
        <v>133</v>
      </c>
      <c r="EE33" t="s">
        <v>133</v>
      </c>
      <c r="EF33" t="s">
        <v>133</v>
      </c>
      <c r="EG33">
        <v>7430</v>
      </c>
      <c r="EH33">
        <v>5</v>
      </c>
      <c r="EI33">
        <v>0</v>
      </c>
      <c r="EJ33" t="s">
        <v>133</v>
      </c>
      <c r="EK33" t="s">
        <v>133</v>
      </c>
      <c r="EL33" t="s">
        <v>133</v>
      </c>
      <c r="EM33" t="s">
        <v>133</v>
      </c>
      <c r="EN33" t="s">
        <v>133</v>
      </c>
      <c r="EO33" t="s">
        <v>133</v>
      </c>
      <c r="EP33" t="s">
        <v>133</v>
      </c>
      <c r="EQ33" t="s">
        <v>133</v>
      </c>
      <c r="ER33" t="s">
        <v>133</v>
      </c>
      <c r="ES33" t="s">
        <v>133</v>
      </c>
    </row>
    <row r="34" spans="1:149" x14ac:dyDescent="0.2">
      <c r="A34">
        <v>10673</v>
      </c>
      <c r="B34">
        <v>48.6</v>
      </c>
      <c r="C34">
        <f t="shared" si="0"/>
        <v>5.547586206896554</v>
      </c>
      <c r="D34">
        <v>3.7</v>
      </c>
      <c r="E34">
        <f t="shared" si="1"/>
        <v>0.62068965517241415</v>
      </c>
      <c r="F34">
        <v>25</v>
      </c>
      <c r="G34">
        <f t="shared" si="2"/>
        <v>17.568965517241381</v>
      </c>
      <c r="H34">
        <v>4.1666666666666599</v>
      </c>
      <c r="I34">
        <f t="shared" si="3"/>
        <v>3.4433293697978629</v>
      </c>
      <c r="J34">
        <f t="shared" si="4"/>
        <v>97.465350772889465</v>
      </c>
      <c r="K34">
        <f t="shared" si="5"/>
        <v>10.904875148632588</v>
      </c>
      <c r="L34">
        <f t="shared" si="6"/>
        <v>60.495734962483148</v>
      </c>
      <c r="M34">
        <v>50274</v>
      </c>
      <c r="N34">
        <v>3.8333330000000001</v>
      </c>
      <c r="O34">
        <v>5.4</v>
      </c>
      <c r="P34">
        <v>4.4000000000000004</v>
      </c>
      <c r="Q34">
        <v>3.714286</v>
      </c>
      <c r="R34">
        <v>5.8181820000000002</v>
      </c>
      <c r="S34">
        <v>3.538462</v>
      </c>
      <c r="T34" t="s">
        <v>131</v>
      </c>
      <c r="U34" t="s">
        <v>132</v>
      </c>
      <c r="V34">
        <v>5</v>
      </c>
      <c r="W34">
        <v>3.4</v>
      </c>
      <c r="X34">
        <v>8</v>
      </c>
      <c r="Y34">
        <v>9</v>
      </c>
      <c r="Z34">
        <v>0</v>
      </c>
      <c r="AA34">
        <v>5.83</v>
      </c>
      <c r="AB34">
        <v>4.17</v>
      </c>
      <c r="AC34">
        <v>6.13</v>
      </c>
      <c r="AD34">
        <v>6</v>
      </c>
      <c r="AE34">
        <v>5.47</v>
      </c>
      <c r="AF34">
        <v>30</v>
      </c>
      <c r="AG34">
        <v>12</v>
      </c>
      <c r="AH34">
        <v>14</v>
      </c>
      <c r="AI34">
        <v>1</v>
      </c>
      <c r="AJ34">
        <v>3</v>
      </c>
      <c r="AK34">
        <v>2</v>
      </c>
      <c r="AL34">
        <v>2</v>
      </c>
      <c r="AM34">
        <v>7</v>
      </c>
      <c r="AN34">
        <v>0</v>
      </c>
      <c r="AO34">
        <v>4</v>
      </c>
      <c r="AP34">
        <v>15</v>
      </c>
      <c r="AQ34">
        <v>36</v>
      </c>
      <c r="AR34">
        <v>15</v>
      </c>
      <c r="AS34">
        <v>0</v>
      </c>
      <c r="AT34">
        <v>0</v>
      </c>
      <c r="AU34">
        <v>5.75</v>
      </c>
      <c r="AV34">
        <v>5.75</v>
      </c>
      <c r="AW34">
        <v>4.5</v>
      </c>
      <c r="AX34">
        <v>7</v>
      </c>
      <c r="AZ34">
        <v>13</v>
      </c>
      <c r="BA34">
        <v>2.75</v>
      </c>
      <c r="BC34">
        <v>2.67</v>
      </c>
      <c r="BD34">
        <v>3.46</v>
      </c>
      <c r="BE34">
        <v>0</v>
      </c>
      <c r="BF34">
        <v>26</v>
      </c>
      <c r="BG34">
        <v>2.5</v>
      </c>
      <c r="BH34">
        <v>1</v>
      </c>
      <c r="BI34">
        <v>1</v>
      </c>
      <c r="BJ34">
        <v>1.5</v>
      </c>
      <c r="BK34">
        <v>0.75</v>
      </c>
      <c r="BL34">
        <v>1</v>
      </c>
      <c r="BM34">
        <v>0.5</v>
      </c>
      <c r="BN34">
        <v>1.1785714285714199</v>
      </c>
      <c r="BO34">
        <v>104</v>
      </c>
      <c r="BP34">
        <v>84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63</v>
      </c>
      <c r="BW34">
        <v>40</v>
      </c>
      <c r="BX34">
        <v>8991</v>
      </c>
      <c r="BY34">
        <v>0</v>
      </c>
      <c r="BZ34">
        <v>0</v>
      </c>
      <c r="CA34">
        <v>0</v>
      </c>
      <c r="CB34">
        <v>0</v>
      </c>
      <c r="CC34">
        <v>2.2000000000000002</v>
      </c>
      <c r="CD34">
        <v>3.7</v>
      </c>
      <c r="CE34">
        <v>3.4</v>
      </c>
      <c r="CF34">
        <v>3.1</v>
      </c>
      <c r="CG34">
        <v>3</v>
      </c>
      <c r="CH34">
        <v>2.8333333333333299</v>
      </c>
      <c r="CI34">
        <v>3.8333333333333299</v>
      </c>
      <c r="CJ34">
        <v>2.6666666666666599</v>
      </c>
      <c r="CK34">
        <v>2</v>
      </c>
      <c r="CL34">
        <v>0</v>
      </c>
      <c r="CM34">
        <v>0</v>
      </c>
      <c r="CN34">
        <v>17</v>
      </c>
      <c r="CO34">
        <v>20</v>
      </c>
      <c r="CP34">
        <v>4</v>
      </c>
      <c r="CQ34">
        <v>0.57142857142857095</v>
      </c>
      <c r="CR34">
        <v>21</v>
      </c>
      <c r="CS34">
        <v>26</v>
      </c>
      <c r="CT34">
        <v>43</v>
      </c>
      <c r="CU34" s="1">
        <v>29</v>
      </c>
      <c r="CV34" s="1">
        <v>23</v>
      </c>
      <c r="CW34">
        <v>46</v>
      </c>
      <c r="CX34">
        <v>60</v>
      </c>
      <c r="CY34">
        <v>40</v>
      </c>
      <c r="CZ34">
        <v>60</v>
      </c>
      <c r="DA34">
        <v>45</v>
      </c>
      <c r="DB34">
        <v>60</v>
      </c>
      <c r="DC34">
        <v>0</v>
      </c>
      <c r="DD34">
        <v>0</v>
      </c>
      <c r="DE34">
        <v>7</v>
      </c>
      <c r="DF34">
        <v>1</v>
      </c>
      <c r="DG34">
        <v>45019</v>
      </c>
      <c r="DH34">
        <v>27295</v>
      </c>
      <c r="DI34">
        <v>48.53</v>
      </c>
      <c r="DJ34">
        <v>4</v>
      </c>
      <c r="DK34">
        <v>1</v>
      </c>
      <c r="DL34">
        <v>6</v>
      </c>
      <c r="DM34">
        <v>1</v>
      </c>
      <c r="DN34">
        <v>3</v>
      </c>
      <c r="DO34">
        <v>17</v>
      </c>
      <c r="DP34">
        <v>28</v>
      </c>
      <c r="DQ34">
        <v>3.875</v>
      </c>
      <c r="DR34">
        <v>12</v>
      </c>
      <c r="DS34">
        <v>8</v>
      </c>
      <c r="DT34">
        <v>12</v>
      </c>
      <c r="DU34">
        <v>0</v>
      </c>
      <c r="DV34">
        <v>18</v>
      </c>
      <c r="DW34">
        <v>12</v>
      </c>
      <c r="DY34">
        <v>6</v>
      </c>
      <c r="DZ34">
        <v>2</v>
      </c>
      <c r="EA34">
        <v>7</v>
      </c>
      <c r="EB34">
        <v>6</v>
      </c>
      <c r="EC34" t="s">
        <v>133</v>
      </c>
      <c r="ED34" t="s">
        <v>133</v>
      </c>
      <c r="EE34" t="s">
        <v>133</v>
      </c>
      <c r="EF34">
        <v>0</v>
      </c>
      <c r="EG34">
        <v>19460</v>
      </c>
      <c r="EH34">
        <v>7</v>
      </c>
      <c r="EI34">
        <v>0</v>
      </c>
      <c r="EJ34" t="s">
        <v>133</v>
      </c>
      <c r="EK34" t="s">
        <v>133</v>
      </c>
      <c r="EL34" t="s">
        <v>133</v>
      </c>
      <c r="EM34" t="s">
        <v>133</v>
      </c>
      <c r="EN34" t="s">
        <v>133</v>
      </c>
      <c r="EO34" t="s">
        <v>133</v>
      </c>
      <c r="EP34" t="s">
        <v>133</v>
      </c>
      <c r="EQ34" t="s">
        <v>133</v>
      </c>
      <c r="ER34" t="s">
        <v>133</v>
      </c>
      <c r="ES34" t="s">
        <v>133</v>
      </c>
    </row>
    <row r="35" spans="1:149" x14ac:dyDescent="0.2">
      <c r="A35">
        <v>10674</v>
      </c>
      <c r="B35">
        <v>33.200000000000003</v>
      </c>
      <c r="C35">
        <f t="shared" si="0"/>
        <v>-9.8524137931034446</v>
      </c>
      <c r="D35">
        <v>2.5</v>
      </c>
      <c r="E35">
        <f t="shared" si="1"/>
        <v>-0.57931034482758603</v>
      </c>
      <c r="F35">
        <v>0</v>
      </c>
      <c r="G35">
        <f t="shared" si="2"/>
        <v>-7.431034482758621</v>
      </c>
      <c r="H35">
        <v>5</v>
      </c>
      <c r="I35">
        <f t="shared" si="3"/>
        <v>5.7076052318668209</v>
      </c>
      <c r="J35">
        <f t="shared" si="4"/>
        <v>73.213626634958359</v>
      </c>
      <c r="K35">
        <f t="shared" si="5"/>
        <v>4.3048751486325791</v>
      </c>
      <c r="L35">
        <f t="shared" si="6"/>
        <v>-42.413411291975862</v>
      </c>
      <c r="M35">
        <v>11190</v>
      </c>
      <c r="N35">
        <v>5.2857139999999996</v>
      </c>
      <c r="O35">
        <v>6.9230770000000001</v>
      </c>
      <c r="P35">
        <v>6.8571429999999998</v>
      </c>
      <c r="Q35">
        <v>5.3846150000000002</v>
      </c>
      <c r="R35">
        <v>5.6923079999999997</v>
      </c>
      <c r="S35">
        <v>6.1428570000000002</v>
      </c>
      <c r="T35" t="s">
        <v>135</v>
      </c>
      <c r="U35" t="s">
        <v>134</v>
      </c>
      <c r="V35">
        <v>4.22</v>
      </c>
      <c r="W35">
        <v>4.2</v>
      </c>
      <c r="X35">
        <v>1</v>
      </c>
      <c r="Y35">
        <v>0</v>
      </c>
      <c r="Z35">
        <v>0</v>
      </c>
      <c r="AA35">
        <v>6.17</v>
      </c>
      <c r="AB35">
        <v>6.33</v>
      </c>
      <c r="AC35">
        <v>6.5</v>
      </c>
      <c r="AD35">
        <v>6.33</v>
      </c>
      <c r="AE35">
        <v>6.4</v>
      </c>
      <c r="AF35">
        <v>3</v>
      </c>
      <c r="AG35">
        <v>1</v>
      </c>
      <c r="AH35">
        <v>0</v>
      </c>
      <c r="AI35">
        <v>2</v>
      </c>
      <c r="AJ35">
        <v>0</v>
      </c>
      <c r="AK35">
        <v>0</v>
      </c>
      <c r="AL35">
        <v>2</v>
      </c>
      <c r="AM35">
        <v>5</v>
      </c>
      <c r="AN35">
        <v>1</v>
      </c>
      <c r="AO35">
        <v>2</v>
      </c>
      <c r="AP35">
        <v>10</v>
      </c>
      <c r="AQ35">
        <v>37</v>
      </c>
      <c r="AR35">
        <v>10</v>
      </c>
      <c r="AS35">
        <v>0</v>
      </c>
      <c r="AT35">
        <v>0</v>
      </c>
      <c r="AU35">
        <v>6.83</v>
      </c>
      <c r="AV35">
        <v>6.5</v>
      </c>
      <c r="AW35">
        <v>7</v>
      </c>
      <c r="AX35">
        <v>7</v>
      </c>
      <c r="AZ35">
        <v>6</v>
      </c>
      <c r="BA35">
        <v>1.42</v>
      </c>
      <c r="BC35">
        <v>3</v>
      </c>
      <c r="BD35">
        <v>2.46</v>
      </c>
      <c r="BE35">
        <v>85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20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8991</v>
      </c>
      <c r="BY35">
        <v>0</v>
      </c>
      <c r="BZ35">
        <v>0</v>
      </c>
      <c r="CA35">
        <v>0</v>
      </c>
      <c r="CB35">
        <v>0</v>
      </c>
      <c r="CC35">
        <v>4.5</v>
      </c>
      <c r="CD35">
        <v>4.5999999999999996</v>
      </c>
      <c r="CE35">
        <v>4.4000000000000004</v>
      </c>
      <c r="CF35">
        <v>4.5</v>
      </c>
      <c r="CG35">
        <v>6</v>
      </c>
      <c r="CH35">
        <v>6</v>
      </c>
      <c r="CI35">
        <v>6</v>
      </c>
      <c r="CJ35">
        <v>6</v>
      </c>
      <c r="CK35">
        <v>0.3</v>
      </c>
      <c r="CL35">
        <v>0</v>
      </c>
      <c r="CM35">
        <v>0</v>
      </c>
      <c r="CN35">
        <v>28</v>
      </c>
      <c r="CO35">
        <v>20</v>
      </c>
      <c r="CP35">
        <v>9</v>
      </c>
      <c r="CQ35">
        <v>0.75</v>
      </c>
      <c r="CR35">
        <v>35</v>
      </c>
      <c r="CS35">
        <v>30</v>
      </c>
      <c r="CT35">
        <v>41</v>
      </c>
      <c r="CU35" s="1">
        <v>20</v>
      </c>
      <c r="CV35" s="1">
        <v>32</v>
      </c>
      <c r="CW35">
        <v>48</v>
      </c>
      <c r="CX35">
        <v>55</v>
      </c>
      <c r="CY35">
        <v>38</v>
      </c>
      <c r="CZ35">
        <v>60</v>
      </c>
      <c r="DA35">
        <v>28</v>
      </c>
      <c r="DB35">
        <v>60</v>
      </c>
      <c r="DC35">
        <v>0</v>
      </c>
      <c r="DD35">
        <v>0</v>
      </c>
      <c r="DE35">
        <v>7</v>
      </c>
      <c r="DF35">
        <v>2</v>
      </c>
      <c r="DG35">
        <v>45019</v>
      </c>
      <c r="DH35">
        <v>32924</v>
      </c>
      <c r="DI35">
        <v>33.11</v>
      </c>
      <c r="DJ35">
        <v>3</v>
      </c>
      <c r="DK35">
        <v>0</v>
      </c>
      <c r="DL35">
        <v>0</v>
      </c>
      <c r="DM35">
        <v>0</v>
      </c>
      <c r="DN35">
        <v>2</v>
      </c>
      <c r="DO35">
        <v>5</v>
      </c>
      <c r="DP35">
        <v>0</v>
      </c>
      <c r="DQ35">
        <v>3.25</v>
      </c>
      <c r="DR35">
        <v>12</v>
      </c>
      <c r="DS35">
        <v>6</v>
      </c>
      <c r="DT35">
        <v>12</v>
      </c>
      <c r="DU35">
        <v>2</v>
      </c>
      <c r="DV35">
        <v>15</v>
      </c>
      <c r="DW35">
        <v>5</v>
      </c>
      <c r="DY35">
        <v>6</v>
      </c>
      <c r="DZ35">
        <v>2</v>
      </c>
      <c r="EA35">
        <v>6</v>
      </c>
      <c r="EB35">
        <v>6</v>
      </c>
      <c r="EC35" t="s">
        <v>133</v>
      </c>
      <c r="ED35" t="s">
        <v>133</v>
      </c>
      <c r="EE35" t="s">
        <v>133</v>
      </c>
      <c r="EF35">
        <v>3</v>
      </c>
      <c r="EG35">
        <v>68136</v>
      </c>
      <c r="EH35">
        <v>6</v>
      </c>
      <c r="EI35">
        <v>0</v>
      </c>
      <c r="EJ35" t="s">
        <v>133</v>
      </c>
      <c r="EK35" t="s">
        <v>133</v>
      </c>
      <c r="EL35" t="s">
        <v>133</v>
      </c>
      <c r="EM35" t="s">
        <v>133</v>
      </c>
      <c r="EN35" t="s">
        <v>133</v>
      </c>
      <c r="EO35" t="s">
        <v>133</v>
      </c>
      <c r="EP35" t="s">
        <v>133</v>
      </c>
      <c r="EQ35" t="s">
        <v>133</v>
      </c>
      <c r="ER35" t="s">
        <v>133</v>
      </c>
      <c r="ES35" t="s">
        <v>133</v>
      </c>
    </row>
    <row r="36" spans="1:149" x14ac:dyDescent="0.2">
      <c r="A36">
        <v>10677</v>
      </c>
      <c r="B36">
        <v>33.369999999999997</v>
      </c>
      <c r="C36">
        <f t="shared" si="0"/>
        <v>-9.68241379310345</v>
      </c>
      <c r="D36">
        <v>2.4</v>
      </c>
      <c r="E36">
        <f t="shared" si="1"/>
        <v>-0.67931034482758612</v>
      </c>
      <c r="F36">
        <v>1</v>
      </c>
      <c r="G36">
        <f t="shared" si="2"/>
        <v>-6.431034482758621</v>
      </c>
      <c r="H36">
        <v>4.5</v>
      </c>
      <c r="I36">
        <f t="shared" si="3"/>
        <v>6.5773638525564806</v>
      </c>
      <c r="J36">
        <f t="shared" si="4"/>
        <v>62.267936979785986</v>
      </c>
      <c r="K36">
        <f t="shared" si="5"/>
        <v>4.3686682520808562</v>
      </c>
      <c r="L36">
        <f t="shared" si="6"/>
        <v>-42.299253741440815</v>
      </c>
      <c r="M36">
        <v>52089</v>
      </c>
      <c r="N36">
        <v>3.6363639999999999</v>
      </c>
      <c r="O36">
        <v>4.5999999999999996</v>
      </c>
      <c r="P36">
        <v>2.8333330000000001</v>
      </c>
      <c r="Q36">
        <v>4.8</v>
      </c>
      <c r="R36">
        <v>5.0909089999999999</v>
      </c>
      <c r="S36">
        <v>4.6153849999999998</v>
      </c>
      <c r="T36" t="s">
        <v>135</v>
      </c>
      <c r="U36" t="s">
        <v>132</v>
      </c>
      <c r="V36">
        <v>4.78</v>
      </c>
      <c r="W36">
        <v>4.5999999999999996</v>
      </c>
      <c r="X36">
        <v>7</v>
      </c>
      <c r="Y36">
        <v>1</v>
      </c>
      <c r="Z36">
        <v>0</v>
      </c>
      <c r="AA36" t="s">
        <v>133</v>
      </c>
      <c r="AB36" t="s">
        <v>133</v>
      </c>
      <c r="AC36" t="s">
        <v>133</v>
      </c>
      <c r="AD36" t="s">
        <v>133</v>
      </c>
      <c r="AE36" t="s">
        <v>133</v>
      </c>
      <c r="AF36">
        <v>4</v>
      </c>
      <c r="AG36">
        <v>0</v>
      </c>
      <c r="AH36">
        <v>2</v>
      </c>
      <c r="AI36">
        <v>0</v>
      </c>
      <c r="AJ36">
        <v>2</v>
      </c>
      <c r="AK36">
        <v>0</v>
      </c>
      <c r="AL36">
        <v>2</v>
      </c>
      <c r="AM36">
        <v>5</v>
      </c>
      <c r="AN36">
        <v>1</v>
      </c>
      <c r="AO36">
        <v>2</v>
      </c>
      <c r="AP36">
        <v>10</v>
      </c>
      <c r="AQ36">
        <v>37</v>
      </c>
      <c r="AR36">
        <v>13</v>
      </c>
      <c r="AS36">
        <v>0</v>
      </c>
      <c r="AT36">
        <v>0</v>
      </c>
      <c r="AU36">
        <v>5.75</v>
      </c>
      <c r="AV36">
        <v>7</v>
      </c>
      <c r="AW36">
        <v>3.25</v>
      </c>
      <c r="AX36">
        <v>7</v>
      </c>
      <c r="AZ36">
        <v>17</v>
      </c>
      <c r="BA36">
        <v>3.25</v>
      </c>
      <c r="BC36">
        <v>2.67</v>
      </c>
      <c r="BD36">
        <v>3.4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20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8991</v>
      </c>
      <c r="BY36">
        <v>0</v>
      </c>
      <c r="BZ36">
        <v>0</v>
      </c>
      <c r="CA36">
        <v>0</v>
      </c>
      <c r="CB36">
        <v>0</v>
      </c>
      <c r="CC36">
        <v>4.2</v>
      </c>
      <c r="CD36">
        <v>4.2</v>
      </c>
      <c r="CE36">
        <v>4.2</v>
      </c>
      <c r="CF36">
        <v>4.2</v>
      </c>
      <c r="CG36">
        <v>2.6666666666666599</v>
      </c>
      <c r="CH36">
        <v>2.6666666666666599</v>
      </c>
      <c r="CI36">
        <v>2.6666666666666599</v>
      </c>
      <c r="CJ36">
        <v>2.6666666666666599</v>
      </c>
      <c r="CK36">
        <v>0.95</v>
      </c>
      <c r="CL36">
        <v>0</v>
      </c>
      <c r="CM36">
        <v>0</v>
      </c>
      <c r="CN36">
        <v>22</v>
      </c>
      <c r="CO36">
        <v>0</v>
      </c>
      <c r="CP36">
        <v>9</v>
      </c>
      <c r="CQ36">
        <v>1.125</v>
      </c>
      <c r="CR36">
        <v>30</v>
      </c>
      <c r="CS36">
        <v>30</v>
      </c>
      <c r="CT36">
        <v>38</v>
      </c>
      <c r="CU36" s="1">
        <v>29</v>
      </c>
      <c r="CV36" s="1">
        <v>27</v>
      </c>
      <c r="CW36">
        <v>48</v>
      </c>
      <c r="CX36">
        <v>0</v>
      </c>
      <c r="CY36">
        <v>48</v>
      </c>
      <c r="CZ36">
        <v>0</v>
      </c>
      <c r="DA36">
        <v>48</v>
      </c>
      <c r="DB36">
        <v>0</v>
      </c>
      <c r="DC36">
        <v>0</v>
      </c>
      <c r="DD36">
        <v>0</v>
      </c>
      <c r="DE36">
        <v>7</v>
      </c>
      <c r="DF36">
        <v>1</v>
      </c>
      <c r="DG36">
        <v>45020</v>
      </c>
      <c r="DH36">
        <v>32861</v>
      </c>
      <c r="DI36">
        <v>33.29</v>
      </c>
      <c r="DJ36">
        <v>3</v>
      </c>
      <c r="DK36">
        <v>1</v>
      </c>
      <c r="DL36">
        <v>1</v>
      </c>
      <c r="DM36">
        <v>0</v>
      </c>
      <c r="DN36">
        <v>1</v>
      </c>
      <c r="DO36">
        <v>3</v>
      </c>
      <c r="DP36">
        <v>28</v>
      </c>
      <c r="DQ36">
        <v>3.6875</v>
      </c>
      <c r="DR36">
        <v>11</v>
      </c>
      <c r="DS36">
        <v>9</v>
      </c>
      <c r="DT36">
        <v>9</v>
      </c>
      <c r="DU36">
        <v>5</v>
      </c>
      <c r="DV36">
        <v>15</v>
      </c>
      <c r="DW36">
        <v>10</v>
      </c>
      <c r="DY36">
        <v>4</v>
      </c>
      <c r="DZ36">
        <v>2</v>
      </c>
      <c r="EA36">
        <v>7</v>
      </c>
      <c r="EB36">
        <v>4</v>
      </c>
      <c r="EC36" t="s">
        <v>133</v>
      </c>
      <c r="ED36" t="s">
        <v>133</v>
      </c>
      <c r="EE36" t="s">
        <v>133</v>
      </c>
      <c r="EF36">
        <v>1</v>
      </c>
      <c r="EG36">
        <v>19151</v>
      </c>
      <c r="EH36">
        <v>7</v>
      </c>
      <c r="EI36">
        <v>0</v>
      </c>
      <c r="EJ36" t="s">
        <v>133</v>
      </c>
      <c r="EK36" t="s">
        <v>133</v>
      </c>
      <c r="EL36" t="s">
        <v>133</v>
      </c>
      <c r="EM36" t="s">
        <v>133</v>
      </c>
      <c r="EN36" t="s">
        <v>133</v>
      </c>
      <c r="EO36" t="s">
        <v>133</v>
      </c>
      <c r="EP36" t="s">
        <v>133</v>
      </c>
      <c r="EQ36" t="s">
        <v>133</v>
      </c>
      <c r="ER36" t="s">
        <v>133</v>
      </c>
      <c r="ES36" t="s">
        <v>133</v>
      </c>
    </row>
    <row r="37" spans="1:149" x14ac:dyDescent="0.2">
      <c r="A37">
        <v>10685</v>
      </c>
      <c r="B37">
        <v>34.43</v>
      </c>
      <c r="C37">
        <f t="shared" si="0"/>
        <v>-8.6224137931034477</v>
      </c>
      <c r="D37">
        <v>3.4</v>
      </c>
      <c r="E37">
        <f t="shared" si="1"/>
        <v>0.32068965517241388</v>
      </c>
      <c r="F37">
        <v>2</v>
      </c>
      <c r="G37">
        <f t="shared" si="2"/>
        <v>-5.431034482758621</v>
      </c>
      <c r="H37">
        <v>5.9166666666666599</v>
      </c>
      <c r="I37">
        <f t="shared" si="3"/>
        <v>-2.7651189060642096</v>
      </c>
      <c r="J37">
        <f t="shared" si="4"/>
        <v>46.828626634958383</v>
      </c>
      <c r="K37">
        <f t="shared" si="5"/>
        <v>-1.7416765755053514</v>
      </c>
      <c r="L37">
        <f t="shared" si="6"/>
        <v>15.017456127762518</v>
      </c>
      <c r="M37">
        <v>101389</v>
      </c>
      <c r="N37">
        <v>2.75</v>
      </c>
      <c r="O37">
        <v>3.4285709999999998</v>
      </c>
      <c r="P37">
        <v>3.3333330000000001</v>
      </c>
      <c r="Q37">
        <v>4.75</v>
      </c>
      <c r="R37">
        <v>6.1818179999999998</v>
      </c>
      <c r="S37">
        <v>6.1538459999999997</v>
      </c>
      <c r="T37" t="s">
        <v>135</v>
      </c>
      <c r="U37" t="s">
        <v>134</v>
      </c>
      <c r="V37">
        <v>3.67</v>
      </c>
      <c r="W37">
        <v>3.7</v>
      </c>
      <c r="X37">
        <v>7</v>
      </c>
      <c r="Y37">
        <v>2</v>
      </c>
      <c r="Z37">
        <v>0</v>
      </c>
      <c r="AA37">
        <v>6.17</v>
      </c>
      <c r="AB37">
        <v>5.83</v>
      </c>
      <c r="AC37">
        <v>5.13</v>
      </c>
      <c r="AD37">
        <v>6</v>
      </c>
      <c r="AE37">
        <v>5.6</v>
      </c>
      <c r="AF37">
        <v>25</v>
      </c>
      <c r="AG37">
        <v>2</v>
      </c>
      <c r="AH37">
        <v>10</v>
      </c>
      <c r="AI37">
        <v>5</v>
      </c>
      <c r="AJ37">
        <v>8</v>
      </c>
      <c r="AK37">
        <v>2</v>
      </c>
      <c r="AL37">
        <v>5</v>
      </c>
      <c r="AM37">
        <v>4</v>
      </c>
      <c r="AN37">
        <v>4</v>
      </c>
      <c r="AO37">
        <v>3</v>
      </c>
      <c r="AP37">
        <v>18</v>
      </c>
      <c r="AQ37">
        <v>35</v>
      </c>
      <c r="AR37">
        <v>13</v>
      </c>
      <c r="AS37">
        <v>0</v>
      </c>
      <c r="AT37">
        <v>0</v>
      </c>
      <c r="AU37">
        <v>5.67</v>
      </c>
      <c r="AV37">
        <v>6</v>
      </c>
      <c r="AW37">
        <v>4.75</v>
      </c>
      <c r="AX37">
        <v>6.25</v>
      </c>
      <c r="AZ37">
        <v>16</v>
      </c>
      <c r="BA37">
        <v>1.75</v>
      </c>
      <c r="BC37">
        <v>2.83</v>
      </c>
      <c r="BD37">
        <v>9999</v>
      </c>
      <c r="BE37">
        <v>0</v>
      </c>
      <c r="BF37">
        <v>39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95</v>
      </c>
      <c r="BP37">
        <v>75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8991</v>
      </c>
      <c r="BY37">
        <v>0</v>
      </c>
      <c r="BZ37">
        <v>0</v>
      </c>
      <c r="CA37">
        <v>0</v>
      </c>
      <c r="CB37">
        <v>0</v>
      </c>
      <c r="CC37">
        <v>2.9</v>
      </c>
      <c r="CD37">
        <v>4.0999999999999996</v>
      </c>
      <c r="CE37">
        <v>4.3</v>
      </c>
      <c r="CF37">
        <v>3.77</v>
      </c>
      <c r="CG37">
        <v>6</v>
      </c>
      <c r="CH37">
        <v>5.1666666666666599</v>
      </c>
      <c r="CI37">
        <v>6</v>
      </c>
      <c r="CJ37">
        <v>5.1666666666666599</v>
      </c>
      <c r="CK37">
        <v>0.95</v>
      </c>
      <c r="CL37">
        <v>0</v>
      </c>
      <c r="CM37">
        <v>0</v>
      </c>
      <c r="CN37">
        <v>25</v>
      </c>
      <c r="CO37">
        <v>25</v>
      </c>
      <c r="CP37">
        <v>11</v>
      </c>
      <c r="CQ37">
        <v>1.1000000000000001</v>
      </c>
      <c r="CR37">
        <v>33</v>
      </c>
      <c r="CS37">
        <v>34</v>
      </c>
      <c r="CT37">
        <v>46</v>
      </c>
      <c r="CU37" s="1">
        <v>28</v>
      </c>
      <c r="CV37" s="1">
        <v>35</v>
      </c>
      <c r="CW37">
        <v>48</v>
      </c>
      <c r="CX37">
        <v>46</v>
      </c>
      <c r="CY37">
        <v>48</v>
      </c>
      <c r="CZ37">
        <v>53</v>
      </c>
      <c r="DA37">
        <v>48</v>
      </c>
      <c r="DB37">
        <v>60</v>
      </c>
      <c r="DC37">
        <v>0</v>
      </c>
      <c r="DD37">
        <v>0</v>
      </c>
      <c r="DE37">
        <v>2</v>
      </c>
      <c r="DF37">
        <v>1</v>
      </c>
      <c r="DG37">
        <v>45022</v>
      </c>
      <c r="DH37">
        <v>32538</v>
      </c>
      <c r="DI37">
        <v>34.18</v>
      </c>
      <c r="DJ37">
        <v>3</v>
      </c>
      <c r="DK37">
        <v>0</v>
      </c>
      <c r="DL37">
        <v>3</v>
      </c>
      <c r="DM37">
        <v>17</v>
      </c>
      <c r="DN37">
        <v>0</v>
      </c>
      <c r="DO37">
        <v>6</v>
      </c>
      <c r="DP37">
        <v>0</v>
      </c>
      <c r="DQ37">
        <v>3.125</v>
      </c>
      <c r="DR37">
        <v>10</v>
      </c>
      <c r="DS37">
        <v>2</v>
      </c>
      <c r="DT37">
        <v>9</v>
      </c>
      <c r="DU37">
        <v>4</v>
      </c>
      <c r="DV37">
        <v>14</v>
      </c>
      <c r="DW37">
        <v>11</v>
      </c>
      <c r="DY37">
        <v>5</v>
      </c>
      <c r="DZ37">
        <v>1</v>
      </c>
      <c r="EA37">
        <v>6</v>
      </c>
      <c r="EB37">
        <v>5</v>
      </c>
      <c r="EC37" t="s">
        <v>133</v>
      </c>
      <c r="ED37" t="s">
        <v>133</v>
      </c>
      <c r="EE37" t="s">
        <v>133</v>
      </c>
      <c r="EF37" t="s">
        <v>133</v>
      </c>
      <c r="EG37">
        <v>18106</v>
      </c>
      <c r="EH37">
        <v>6</v>
      </c>
      <c r="EI37">
        <v>0</v>
      </c>
      <c r="EJ37" t="s">
        <v>133</v>
      </c>
      <c r="EK37" t="s">
        <v>133</v>
      </c>
      <c r="EL37" t="s">
        <v>133</v>
      </c>
      <c r="EM37" t="s">
        <v>133</v>
      </c>
      <c r="EN37" t="s">
        <v>133</v>
      </c>
      <c r="EO37" t="s">
        <v>133</v>
      </c>
      <c r="EP37" t="s">
        <v>133</v>
      </c>
      <c r="EQ37" t="s">
        <v>133</v>
      </c>
      <c r="ER37" t="s">
        <v>133</v>
      </c>
      <c r="ES37" t="s">
        <v>133</v>
      </c>
    </row>
    <row r="38" spans="1:149" x14ac:dyDescent="0.2">
      <c r="A38">
        <v>10691</v>
      </c>
      <c r="B38">
        <v>58.27</v>
      </c>
      <c r="C38">
        <f t="shared" si="0"/>
        <v>15.217586206896556</v>
      </c>
      <c r="D38">
        <v>3.3</v>
      </c>
      <c r="E38">
        <f t="shared" si="1"/>
        <v>0.22068965517241379</v>
      </c>
      <c r="F38">
        <v>13</v>
      </c>
      <c r="G38">
        <f t="shared" si="2"/>
        <v>5.568965517241379</v>
      </c>
      <c r="H38">
        <v>2.4166666666666599</v>
      </c>
      <c r="I38">
        <f t="shared" si="3"/>
        <v>3.3583638525564812</v>
      </c>
      <c r="J38">
        <f t="shared" si="4"/>
        <v>84.746212841854955</v>
      </c>
      <c r="K38">
        <f t="shared" si="5"/>
        <v>1.2290130796670629</v>
      </c>
      <c r="L38">
        <f t="shared" si="6"/>
        <v>18.702612489236955</v>
      </c>
      <c r="M38">
        <v>130765</v>
      </c>
      <c r="N38">
        <v>5.5714290000000002</v>
      </c>
      <c r="O38">
        <v>6.5</v>
      </c>
      <c r="P38">
        <v>6.8571429999999998</v>
      </c>
      <c r="Q38">
        <v>5.3333329999999997</v>
      </c>
      <c r="R38">
        <v>5.6923079999999997</v>
      </c>
      <c r="S38">
        <v>5.7142860000000004</v>
      </c>
      <c r="T38" t="s">
        <v>131</v>
      </c>
      <c r="U38" t="s">
        <v>132</v>
      </c>
      <c r="V38">
        <v>4</v>
      </c>
      <c r="W38">
        <v>3.2</v>
      </c>
      <c r="X38">
        <v>1</v>
      </c>
      <c r="Y38">
        <v>7</v>
      </c>
      <c r="Z38">
        <v>0</v>
      </c>
      <c r="AA38">
        <v>4.33</v>
      </c>
      <c r="AB38">
        <v>4</v>
      </c>
      <c r="AC38">
        <v>4.13</v>
      </c>
      <c r="AD38">
        <v>2.83</v>
      </c>
      <c r="AE38">
        <v>3.8</v>
      </c>
      <c r="AF38">
        <v>35</v>
      </c>
      <c r="AG38">
        <v>8</v>
      </c>
      <c r="AH38">
        <v>15</v>
      </c>
      <c r="AI38">
        <v>4</v>
      </c>
      <c r="AJ38">
        <v>8</v>
      </c>
      <c r="AK38">
        <v>7</v>
      </c>
      <c r="AL38">
        <v>5</v>
      </c>
      <c r="AM38">
        <v>2</v>
      </c>
      <c r="AN38">
        <v>4</v>
      </c>
      <c r="AO38">
        <v>6</v>
      </c>
      <c r="AP38">
        <v>24</v>
      </c>
      <c r="AQ38">
        <v>33</v>
      </c>
      <c r="AR38">
        <v>12</v>
      </c>
      <c r="AS38">
        <v>0</v>
      </c>
      <c r="AT38">
        <v>0</v>
      </c>
      <c r="AU38">
        <v>4.5</v>
      </c>
      <c r="AV38">
        <v>4.75</v>
      </c>
      <c r="AW38">
        <v>4</v>
      </c>
      <c r="AX38">
        <v>4.75</v>
      </c>
      <c r="AZ38">
        <v>14</v>
      </c>
      <c r="BA38">
        <v>3.58</v>
      </c>
      <c r="BC38">
        <v>2.33</v>
      </c>
      <c r="BD38">
        <v>3.94</v>
      </c>
      <c r="BE38">
        <v>62.1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90</v>
      </c>
      <c r="BP38">
        <v>70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8991</v>
      </c>
      <c r="BY38">
        <v>0</v>
      </c>
      <c r="BZ38">
        <v>0</v>
      </c>
      <c r="CA38">
        <v>0</v>
      </c>
      <c r="CB38">
        <v>0</v>
      </c>
      <c r="CC38">
        <v>3</v>
      </c>
      <c r="CD38">
        <v>3</v>
      </c>
      <c r="CE38">
        <v>3.4</v>
      </c>
      <c r="CF38">
        <v>3.13</v>
      </c>
      <c r="CG38">
        <v>6</v>
      </c>
      <c r="CH38">
        <v>4.3333333333333304</v>
      </c>
      <c r="CI38">
        <v>4.3333333333333304</v>
      </c>
      <c r="CJ38">
        <v>3.5</v>
      </c>
      <c r="CK38">
        <v>1.4</v>
      </c>
      <c r="CL38">
        <v>0</v>
      </c>
      <c r="CM38">
        <v>0</v>
      </c>
      <c r="CN38">
        <v>21</v>
      </c>
      <c r="CO38">
        <v>23</v>
      </c>
      <c r="CP38">
        <v>7</v>
      </c>
      <c r="CQ38">
        <v>0.875</v>
      </c>
      <c r="CR38">
        <v>27</v>
      </c>
      <c r="CS38">
        <v>25</v>
      </c>
      <c r="CT38">
        <v>40</v>
      </c>
      <c r="CU38" s="1">
        <v>20</v>
      </c>
      <c r="CV38" s="1">
        <v>29</v>
      </c>
      <c r="CW38">
        <v>41</v>
      </c>
      <c r="CX38">
        <v>60</v>
      </c>
      <c r="CY38">
        <v>35</v>
      </c>
      <c r="CZ38">
        <v>60</v>
      </c>
      <c r="DA38">
        <v>27</v>
      </c>
      <c r="DB38">
        <v>60</v>
      </c>
      <c r="DC38">
        <v>0</v>
      </c>
      <c r="DD38">
        <v>0</v>
      </c>
      <c r="DE38">
        <v>6</v>
      </c>
      <c r="DF38">
        <v>1</v>
      </c>
      <c r="DG38">
        <v>45026</v>
      </c>
      <c r="DH38">
        <v>23779</v>
      </c>
      <c r="DI38">
        <v>58.17</v>
      </c>
      <c r="DJ38">
        <v>4</v>
      </c>
      <c r="DK38">
        <v>1</v>
      </c>
      <c r="DL38">
        <v>3</v>
      </c>
      <c r="DM38">
        <v>0</v>
      </c>
      <c r="DN38">
        <v>4</v>
      </c>
      <c r="DO38">
        <v>11</v>
      </c>
      <c r="DP38">
        <v>24</v>
      </c>
      <c r="DQ38">
        <v>3.125</v>
      </c>
      <c r="DR38">
        <v>9</v>
      </c>
      <c r="DS38">
        <v>9</v>
      </c>
      <c r="DT38">
        <v>7</v>
      </c>
      <c r="DU38">
        <v>1</v>
      </c>
      <c r="DV38">
        <v>15</v>
      </c>
      <c r="DW38">
        <v>9</v>
      </c>
      <c r="DY38">
        <v>5</v>
      </c>
      <c r="DZ38">
        <v>0</v>
      </c>
      <c r="EA38">
        <v>5</v>
      </c>
      <c r="EB38">
        <v>5</v>
      </c>
      <c r="EC38" t="s">
        <v>133</v>
      </c>
      <c r="ED38" t="s">
        <v>133</v>
      </c>
      <c r="EE38" t="s">
        <v>133</v>
      </c>
      <c r="EF38">
        <v>0</v>
      </c>
      <c r="EG38">
        <v>19147</v>
      </c>
      <c r="EH38">
        <v>5</v>
      </c>
      <c r="EI38">
        <v>0</v>
      </c>
      <c r="EJ38" t="s">
        <v>133</v>
      </c>
      <c r="EK38" t="s">
        <v>133</v>
      </c>
      <c r="EL38" t="s">
        <v>133</v>
      </c>
      <c r="EM38" t="s">
        <v>133</v>
      </c>
      <c r="EN38" t="s">
        <v>133</v>
      </c>
      <c r="EO38" t="s">
        <v>133</v>
      </c>
      <c r="EP38" t="s">
        <v>133</v>
      </c>
      <c r="EQ38" t="s">
        <v>133</v>
      </c>
      <c r="ER38">
        <v>0</v>
      </c>
      <c r="ES38" t="s">
        <v>133</v>
      </c>
    </row>
    <row r="39" spans="1:149" x14ac:dyDescent="0.2">
      <c r="A39">
        <v>10700</v>
      </c>
      <c r="B39">
        <v>23.61</v>
      </c>
      <c r="C39">
        <f t="shared" si="0"/>
        <v>-19.442413793103448</v>
      </c>
      <c r="D39">
        <v>3.5</v>
      </c>
      <c r="E39">
        <f t="shared" si="1"/>
        <v>0.42068965517241397</v>
      </c>
      <c r="F39">
        <v>6</v>
      </c>
      <c r="G39">
        <f t="shared" si="2"/>
        <v>-1.431034482758621</v>
      </c>
      <c r="H39">
        <v>5.25</v>
      </c>
      <c r="I39">
        <f t="shared" si="3"/>
        <v>-8.1792223543400748</v>
      </c>
      <c r="J39">
        <f t="shared" si="4"/>
        <v>27.82276456599287</v>
      </c>
      <c r="K39">
        <f t="shared" si="5"/>
        <v>-0.60202140309155805</v>
      </c>
      <c r="L39">
        <f t="shared" si="6"/>
        <v>11.704749231210799</v>
      </c>
      <c r="M39">
        <v>192599</v>
      </c>
      <c r="N39">
        <v>4.2222220000000004</v>
      </c>
      <c r="O39">
        <v>2.285714</v>
      </c>
      <c r="P39">
        <v>2.5</v>
      </c>
      <c r="Q39">
        <v>4</v>
      </c>
      <c r="R39">
        <v>5.6666670000000003</v>
      </c>
      <c r="S39">
        <v>6.5</v>
      </c>
      <c r="T39" t="s">
        <v>136</v>
      </c>
      <c r="U39" t="s">
        <v>132</v>
      </c>
      <c r="V39">
        <v>4.67</v>
      </c>
      <c r="W39">
        <v>4.7</v>
      </c>
      <c r="X39">
        <v>1</v>
      </c>
      <c r="Y39">
        <v>0</v>
      </c>
      <c r="Z39">
        <v>0</v>
      </c>
      <c r="AA39">
        <v>6.67</v>
      </c>
      <c r="AB39">
        <v>5.33</v>
      </c>
      <c r="AC39">
        <v>5.5</v>
      </c>
      <c r="AD39">
        <v>5</v>
      </c>
      <c r="AE39">
        <v>5.7</v>
      </c>
      <c r="AF39">
        <v>15</v>
      </c>
      <c r="AG39">
        <v>3</v>
      </c>
      <c r="AH39">
        <v>6</v>
      </c>
      <c r="AI39">
        <v>0</v>
      </c>
      <c r="AJ39">
        <v>6</v>
      </c>
      <c r="AK39">
        <v>2</v>
      </c>
      <c r="AL39">
        <v>9</v>
      </c>
      <c r="AM39">
        <v>5</v>
      </c>
      <c r="AN39">
        <v>2</v>
      </c>
      <c r="AO39">
        <v>1</v>
      </c>
      <c r="AP39">
        <v>19</v>
      </c>
      <c r="AQ39">
        <v>26</v>
      </c>
      <c r="AR39">
        <v>15</v>
      </c>
      <c r="AS39">
        <v>0</v>
      </c>
      <c r="AT39">
        <v>0</v>
      </c>
      <c r="AU39">
        <v>6.42</v>
      </c>
      <c r="AV39">
        <v>6.75</v>
      </c>
      <c r="AW39">
        <v>5.75</v>
      </c>
      <c r="AX39">
        <v>6.75</v>
      </c>
      <c r="AZ39">
        <v>13</v>
      </c>
      <c r="BA39">
        <v>3.42</v>
      </c>
      <c r="BC39">
        <v>2.5</v>
      </c>
      <c r="BD39">
        <v>3.69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20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8991</v>
      </c>
      <c r="BY39">
        <v>0</v>
      </c>
      <c r="BZ39">
        <v>0</v>
      </c>
      <c r="CA39">
        <v>0</v>
      </c>
      <c r="CB39">
        <v>0</v>
      </c>
      <c r="CC39">
        <v>3.3</v>
      </c>
      <c r="CD39">
        <v>3.7</v>
      </c>
      <c r="CE39">
        <v>3.9</v>
      </c>
      <c r="CF39">
        <v>3.63</v>
      </c>
      <c r="CG39">
        <v>3.8333333333333299</v>
      </c>
      <c r="CH39">
        <v>4</v>
      </c>
      <c r="CI39">
        <v>6</v>
      </c>
      <c r="CJ39">
        <v>6</v>
      </c>
      <c r="CK39">
        <v>1.2</v>
      </c>
      <c r="CL39">
        <v>0</v>
      </c>
      <c r="CM39">
        <v>0</v>
      </c>
      <c r="CN39">
        <v>25</v>
      </c>
      <c r="CO39">
        <v>0</v>
      </c>
      <c r="CP39">
        <v>11</v>
      </c>
      <c r="CQ39">
        <v>1.1000000000000001</v>
      </c>
      <c r="CR39">
        <v>34</v>
      </c>
      <c r="CS39">
        <v>41</v>
      </c>
      <c r="CT39">
        <v>60</v>
      </c>
      <c r="CU39" s="1">
        <v>25</v>
      </c>
      <c r="CV39" s="1">
        <v>36</v>
      </c>
      <c r="CW39">
        <v>48</v>
      </c>
      <c r="CX39">
        <v>60</v>
      </c>
      <c r="CY39">
        <v>47</v>
      </c>
      <c r="CZ39">
        <v>60</v>
      </c>
      <c r="DA39">
        <v>46</v>
      </c>
      <c r="DB39">
        <v>60</v>
      </c>
      <c r="DC39">
        <v>0</v>
      </c>
      <c r="DD39">
        <v>0</v>
      </c>
      <c r="DE39">
        <v>6</v>
      </c>
      <c r="DF39">
        <v>2</v>
      </c>
      <c r="DG39">
        <v>45028</v>
      </c>
      <c r="DH39">
        <v>36448</v>
      </c>
      <c r="DI39">
        <v>23.49</v>
      </c>
      <c r="DJ39">
        <v>1</v>
      </c>
      <c r="DK39">
        <v>1</v>
      </c>
      <c r="DL39">
        <v>2</v>
      </c>
      <c r="DM39">
        <v>0</v>
      </c>
      <c r="DN39">
        <v>2</v>
      </c>
      <c r="DO39">
        <v>11</v>
      </c>
      <c r="DP39">
        <v>0</v>
      </c>
      <c r="DQ39">
        <v>3.25</v>
      </c>
      <c r="DR39">
        <v>1</v>
      </c>
      <c r="DS39">
        <v>11</v>
      </c>
      <c r="DT39">
        <v>10</v>
      </c>
      <c r="DU39">
        <v>5</v>
      </c>
      <c r="DV39">
        <v>15</v>
      </c>
      <c r="DW39">
        <v>10</v>
      </c>
      <c r="DY39">
        <v>5</v>
      </c>
      <c r="DZ39">
        <v>0</v>
      </c>
      <c r="EA39">
        <v>7</v>
      </c>
      <c r="EB39">
        <v>5</v>
      </c>
      <c r="EC39" t="s">
        <v>133</v>
      </c>
      <c r="ED39" t="s">
        <v>133</v>
      </c>
      <c r="EE39" t="s">
        <v>133</v>
      </c>
      <c r="EF39">
        <v>0</v>
      </c>
      <c r="EG39">
        <v>2129</v>
      </c>
      <c r="EH39">
        <v>7</v>
      </c>
      <c r="EI39">
        <v>0</v>
      </c>
      <c r="EJ39" t="s">
        <v>133</v>
      </c>
      <c r="EK39" t="s">
        <v>133</v>
      </c>
      <c r="EL39" t="s">
        <v>133</v>
      </c>
      <c r="EM39" t="s">
        <v>133</v>
      </c>
      <c r="EN39" t="s">
        <v>133</v>
      </c>
      <c r="EO39" t="s">
        <v>133</v>
      </c>
      <c r="EP39" t="s">
        <v>133</v>
      </c>
      <c r="EQ39" t="s">
        <v>133</v>
      </c>
      <c r="ER39" t="s">
        <v>133</v>
      </c>
      <c r="ES39" t="s">
        <v>133</v>
      </c>
    </row>
    <row r="40" spans="1:149" x14ac:dyDescent="0.2">
      <c r="A40">
        <v>10701</v>
      </c>
      <c r="B40">
        <v>27.02</v>
      </c>
      <c r="C40">
        <f t="shared" si="0"/>
        <v>-16.032413793103448</v>
      </c>
      <c r="D40">
        <v>3.5</v>
      </c>
      <c r="E40">
        <f t="shared" si="1"/>
        <v>0.42068965517241397</v>
      </c>
      <c r="F40">
        <v>7</v>
      </c>
      <c r="G40">
        <f t="shared" si="2"/>
        <v>-0.431034482758621</v>
      </c>
      <c r="H40">
        <v>2.5833333333333299</v>
      </c>
      <c r="I40">
        <f t="shared" si="3"/>
        <v>-6.7446706302021431</v>
      </c>
      <c r="J40">
        <f t="shared" si="4"/>
        <v>6.9105231866825259</v>
      </c>
      <c r="K40">
        <f t="shared" si="5"/>
        <v>-0.18133174791914408</v>
      </c>
      <c r="L40">
        <f t="shared" si="6"/>
        <v>2.9071856164664429</v>
      </c>
      <c r="M40">
        <v>131396</v>
      </c>
      <c r="N40">
        <v>4.5</v>
      </c>
      <c r="O40">
        <v>2.75</v>
      </c>
      <c r="P40">
        <v>3.5555560000000002</v>
      </c>
      <c r="Q40">
        <v>3.2727270000000002</v>
      </c>
      <c r="R40">
        <v>3</v>
      </c>
      <c r="S40">
        <v>4</v>
      </c>
      <c r="T40" t="s">
        <v>131</v>
      </c>
      <c r="U40" t="s">
        <v>134</v>
      </c>
      <c r="V40">
        <v>2.89</v>
      </c>
      <c r="W40">
        <v>3.7</v>
      </c>
      <c r="X40">
        <v>6</v>
      </c>
      <c r="Y40">
        <v>7</v>
      </c>
      <c r="Z40">
        <v>0</v>
      </c>
      <c r="AA40">
        <v>3.67</v>
      </c>
      <c r="AB40">
        <v>4.5</v>
      </c>
      <c r="AC40">
        <v>4.38</v>
      </c>
      <c r="AD40">
        <v>3.33</v>
      </c>
      <c r="AE40">
        <v>4.2300000000000004</v>
      </c>
      <c r="AF40">
        <v>20</v>
      </c>
      <c r="AG40">
        <v>1</v>
      </c>
      <c r="AH40">
        <v>11</v>
      </c>
      <c r="AI40">
        <v>2</v>
      </c>
      <c r="AJ40">
        <v>6</v>
      </c>
      <c r="AK40">
        <v>4</v>
      </c>
      <c r="AL40">
        <v>7</v>
      </c>
      <c r="AM40">
        <v>3</v>
      </c>
      <c r="AN40">
        <v>9</v>
      </c>
      <c r="AO40">
        <v>4</v>
      </c>
      <c r="AP40">
        <v>27</v>
      </c>
      <c r="AQ40">
        <v>22</v>
      </c>
      <c r="AR40">
        <v>13</v>
      </c>
      <c r="AS40">
        <v>0</v>
      </c>
      <c r="AT40">
        <v>0</v>
      </c>
      <c r="AU40">
        <v>3.75</v>
      </c>
      <c r="AV40">
        <v>6.25</v>
      </c>
      <c r="AW40">
        <v>2.5</v>
      </c>
      <c r="AX40">
        <v>2.5</v>
      </c>
      <c r="AZ40">
        <v>19</v>
      </c>
      <c r="BA40">
        <v>4.58</v>
      </c>
      <c r="BC40">
        <v>1.33</v>
      </c>
      <c r="BD40">
        <v>4.1399999999999997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20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8991</v>
      </c>
      <c r="BY40">
        <v>0</v>
      </c>
      <c r="BZ40">
        <v>0</v>
      </c>
      <c r="CA40">
        <v>0</v>
      </c>
      <c r="CB40">
        <v>0</v>
      </c>
      <c r="CC40">
        <v>3.4</v>
      </c>
      <c r="CD40">
        <v>4.0999999999999996</v>
      </c>
      <c r="CE40">
        <v>3.5</v>
      </c>
      <c r="CF40">
        <v>3.67</v>
      </c>
      <c r="CG40">
        <v>6</v>
      </c>
      <c r="CH40">
        <v>4.3333333333333304</v>
      </c>
      <c r="CI40">
        <v>6</v>
      </c>
      <c r="CJ40">
        <v>4.3333333333333304</v>
      </c>
      <c r="CK40">
        <v>0.65</v>
      </c>
      <c r="CL40">
        <v>0</v>
      </c>
      <c r="CM40">
        <v>0</v>
      </c>
      <c r="CN40">
        <v>26</v>
      </c>
      <c r="CO40">
        <v>22</v>
      </c>
      <c r="CP40">
        <v>10</v>
      </c>
      <c r="CQ40">
        <v>1</v>
      </c>
      <c r="CR40">
        <v>35</v>
      </c>
      <c r="CS40">
        <v>31</v>
      </c>
      <c r="CT40">
        <v>50</v>
      </c>
      <c r="CU40" s="1">
        <v>23</v>
      </c>
      <c r="CV40" s="1">
        <v>34</v>
      </c>
      <c r="CW40">
        <v>46</v>
      </c>
      <c r="CX40">
        <v>60</v>
      </c>
      <c r="CY40">
        <v>38</v>
      </c>
      <c r="CZ40">
        <v>60</v>
      </c>
      <c r="DA40">
        <v>38</v>
      </c>
      <c r="DB40">
        <v>60</v>
      </c>
      <c r="DC40">
        <v>0</v>
      </c>
      <c r="DD40">
        <v>0</v>
      </c>
      <c r="DE40">
        <v>6</v>
      </c>
      <c r="DF40">
        <v>1</v>
      </c>
      <c r="DG40">
        <v>45028</v>
      </c>
      <c r="DH40">
        <v>35195</v>
      </c>
      <c r="DI40">
        <v>26.92</v>
      </c>
      <c r="DJ40">
        <v>4</v>
      </c>
      <c r="DK40">
        <v>0</v>
      </c>
      <c r="DL40">
        <v>10</v>
      </c>
      <c r="DM40">
        <v>2</v>
      </c>
      <c r="DN40">
        <v>2</v>
      </c>
      <c r="DO40">
        <v>8</v>
      </c>
      <c r="DP40">
        <v>0</v>
      </c>
      <c r="DQ40">
        <v>2.6875</v>
      </c>
      <c r="DR40">
        <v>8</v>
      </c>
      <c r="DS40">
        <v>0</v>
      </c>
      <c r="DT40">
        <v>8</v>
      </c>
      <c r="DU40">
        <v>1</v>
      </c>
      <c r="DV40">
        <v>17</v>
      </c>
      <c r="DW40">
        <v>9</v>
      </c>
      <c r="DY40">
        <v>6</v>
      </c>
      <c r="DZ40">
        <v>3</v>
      </c>
      <c r="EA40">
        <v>5</v>
      </c>
      <c r="EB40">
        <v>6</v>
      </c>
      <c r="EC40" t="s">
        <v>133</v>
      </c>
      <c r="ED40" t="s">
        <v>133</v>
      </c>
      <c r="EE40" t="s">
        <v>133</v>
      </c>
      <c r="EF40">
        <v>1</v>
      </c>
      <c r="EG40">
        <v>15217</v>
      </c>
      <c r="EH40">
        <v>5</v>
      </c>
      <c r="EI40">
        <v>1</v>
      </c>
      <c r="EJ40" t="s">
        <v>133</v>
      </c>
      <c r="EK40" t="s">
        <v>133</v>
      </c>
      <c r="EL40" t="s">
        <v>133</v>
      </c>
      <c r="EM40" t="s">
        <v>133</v>
      </c>
      <c r="EN40" t="s">
        <v>133</v>
      </c>
      <c r="EO40" t="s">
        <v>133</v>
      </c>
      <c r="EP40" t="s">
        <v>133</v>
      </c>
      <c r="EQ40" t="s">
        <v>133</v>
      </c>
      <c r="ER40" t="s">
        <v>133</v>
      </c>
      <c r="ES40" t="s">
        <v>133</v>
      </c>
    </row>
    <row r="41" spans="1:149" x14ac:dyDescent="0.2">
      <c r="A41">
        <v>10718</v>
      </c>
      <c r="B41">
        <v>28.3</v>
      </c>
      <c r="C41">
        <f t="shared" si="0"/>
        <v>-14.752413793103447</v>
      </c>
      <c r="D41">
        <v>2.6</v>
      </c>
      <c r="E41">
        <f t="shared" si="1"/>
        <v>-0.47931034482758594</v>
      </c>
      <c r="F41">
        <v>0</v>
      </c>
      <c r="G41">
        <f t="shared" si="2"/>
        <v>-7.431034482758621</v>
      </c>
      <c r="H41">
        <v>5</v>
      </c>
      <c r="I41">
        <f t="shared" si="3"/>
        <v>7.0709845422116482</v>
      </c>
      <c r="J41">
        <f t="shared" si="4"/>
        <v>109.62569560047562</v>
      </c>
      <c r="K41">
        <f t="shared" si="5"/>
        <v>3.5617717003567164</v>
      </c>
      <c r="L41">
        <f t="shared" si="6"/>
        <v>-52.54472996022794</v>
      </c>
      <c r="M41">
        <v>31195</v>
      </c>
      <c r="N41">
        <v>6.6153849999999998</v>
      </c>
      <c r="O41">
        <v>5.7142860000000004</v>
      </c>
      <c r="P41">
        <v>5.8571429999999998</v>
      </c>
      <c r="Q41">
        <v>6.461538</v>
      </c>
      <c r="R41">
        <v>6.2857139999999996</v>
      </c>
      <c r="S41">
        <v>5.2307689999999996</v>
      </c>
      <c r="T41" t="s">
        <v>136</v>
      </c>
      <c r="U41" t="s">
        <v>138</v>
      </c>
      <c r="V41">
        <v>3</v>
      </c>
      <c r="W41">
        <v>3</v>
      </c>
      <c r="X41">
        <v>0</v>
      </c>
      <c r="Y41">
        <v>0</v>
      </c>
      <c r="Z41">
        <v>0</v>
      </c>
      <c r="AA41">
        <v>3.67</v>
      </c>
      <c r="AB41">
        <v>3.67</v>
      </c>
      <c r="AC41">
        <v>4</v>
      </c>
      <c r="AD41">
        <v>4.5</v>
      </c>
      <c r="AE41">
        <v>3.87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3</v>
      </c>
      <c r="AL41">
        <v>5</v>
      </c>
      <c r="AM41">
        <v>5</v>
      </c>
      <c r="AN41">
        <v>6</v>
      </c>
      <c r="AO41">
        <v>4</v>
      </c>
      <c r="AP41">
        <v>23</v>
      </c>
      <c r="AQ41">
        <v>17</v>
      </c>
      <c r="AR41">
        <v>10</v>
      </c>
      <c r="AS41">
        <v>0</v>
      </c>
      <c r="AT41">
        <v>0</v>
      </c>
      <c r="AU41">
        <v>6.83</v>
      </c>
      <c r="AV41">
        <v>6.75</v>
      </c>
      <c r="AW41">
        <v>7</v>
      </c>
      <c r="AX41">
        <v>6.75</v>
      </c>
      <c r="AZ41">
        <v>18</v>
      </c>
      <c r="BA41">
        <v>2.5</v>
      </c>
      <c r="BC41">
        <v>3</v>
      </c>
      <c r="BD41">
        <v>9999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20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8991</v>
      </c>
      <c r="BY41">
        <v>0</v>
      </c>
      <c r="BZ41">
        <v>0</v>
      </c>
      <c r="CA41">
        <v>0</v>
      </c>
      <c r="CB41">
        <v>0</v>
      </c>
      <c r="CC41">
        <v>3</v>
      </c>
      <c r="CD41">
        <v>3.5</v>
      </c>
      <c r="CE41">
        <v>3.4</v>
      </c>
      <c r="CF41">
        <v>3.3</v>
      </c>
      <c r="CG41">
        <v>0</v>
      </c>
      <c r="CH41">
        <v>0</v>
      </c>
      <c r="CI41">
        <v>0</v>
      </c>
      <c r="CJ41">
        <v>0</v>
      </c>
      <c r="CK41">
        <v>2.5</v>
      </c>
      <c r="CL41">
        <v>0</v>
      </c>
      <c r="CM41">
        <v>0</v>
      </c>
      <c r="CN41">
        <v>23</v>
      </c>
      <c r="CO41">
        <v>17</v>
      </c>
      <c r="CP41">
        <v>8</v>
      </c>
      <c r="CQ41">
        <v>0.88888888888888795</v>
      </c>
      <c r="CR41">
        <v>31</v>
      </c>
      <c r="CS41">
        <v>24</v>
      </c>
      <c r="CT41">
        <v>59</v>
      </c>
      <c r="CU41" s="1">
        <v>25</v>
      </c>
      <c r="CV41" s="1">
        <v>22</v>
      </c>
      <c r="CW41">
        <v>48</v>
      </c>
      <c r="CX41">
        <v>60</v>
      </c>
      <c r="CY41">
        <v>40</v>
      </c>
      <c r="CZ41">
        <v>60</v>
      </c>
      <c r="DA41">
        <v>40</v>
      </c>
      <c r="DB41">
        <v>60</v>
      </c>
      <c r="DC41">
        <v>3</v>
      </c>
      <c r="DD41">
        <v>3</v>
      </c>
      <c r="DE41">
        <v>7</v>
      </c>
      <c r="DF41">
        <v>3</v>
      </c>
      <c r="DG41">
        <v>45085</v>
      </c>
      <c r="DH41">
        <v>34769</v>
      </c>
      <c r="DI41">
        <v>28.24</v>
      </c>
      <c r="DJ41">
        <v>1</v>
      </c>
      <c r="DK41">
        <v>2</v>
      </c>
      <c r="DL41">
        <v>0</v>
      </c>
      <c r="DM41">
        <v>0</v>
      </c>
      <c r="DN41">
        <v>0</v>
      </c>
      <c r="DO41">
        <v>9</v>
      </c>
      <c r="DP41">
        <v>0</v>
      </c>
      <c r="DQ41">
        <v>3.0625</v>
      </c>
      <c r="DR41">
        <v>9</v>
      </c>
      <c r="DS41">
        <v>3</v>
      </c>
      <c r="DT41">
        <v>9</v>
      </c>
      <c r="DU41">
        <v>2</v>
      </c>
      <c r="DV41">
        <v>17</v>
      </c>
      <c r="DW41">
        <v>9</v>
      </c>
      <c r="DY41">
        <v>6</v>
      </c>
      <c r="DZ41">
        <v>4</v>
      </c>
      <c r="EA41">
        <v>8</v>
      </c>
      <c r="EB41">
        <v>6</v>
      </c>
      <c r="EC41" t="s">
        <v>133</v>
      </c>
      <c r="ED41" t="s">
        <v>133</v>
      </c>
      <c r="EE41" t="s">
        <v>133</v>
      </c>
      <c r="EF41" t="s">
        <v>133</v>
      </c>
      <c r="EG41">
        <v>20832</v>
      </c>
      <c r="EH41">
        <v>8</v>
      </c>
      <c r="EI41">
        <v>0</v>
      </c>
      <c r="EJ41" t="s">
        <v>133</v>
      </c>
      <c r="EK41" t="s">
        <v>133</v>
      </c>
      <c r="EL41" t="s">
        <v>133</v>
      </c>
      <c r="EM41" t="s">
        <v>133</v>
      </c>
      <c r="EN41" t="s">
        <v>133</v>
      </c>
      <c r="EO41" t="s">
        <v>133</v>
      </c>
      <c r="EP41" t="s">
        <v>133</v>
      </c>
      <c r="EQ41" t="s">
        <v>133</v>
      </c>
      <c r="ER41" t="s">
        <v>133</v>
      </c>
      <c r="ES41" t="s">
        <v>133</v>
      </c>
    </row>
    <row r="42" spans="1:149" x14ac:dyDescent="0.2">
      <c r="A42">
        <v>10720</v>
      </c>
      <c r="B42">
        <v>33.44</v>
      </c>
      <c r="C42">
        <f t="shared" si="0"/>
        <v>-9.6124137931034497</v>
      </c>
      <c r="D42">
        <v>3.3</v>
      </c>
      <c r="E42">
        <f t="shared" si="1"/>
        <v>0.22068965517241379</v>
      </c>
      <c r="F42">
        <v>18</v>
      </c>
      <c r="G42">
        <f t="shared" si="2"/>
        <v>10.568965517241379</v>
      </c>
      <c r="H42">
        <v>6</v>
      </c>
      <c r="I42">
        <f t="shared" si="3"/>
        <v>-2.1213602853745543</v>
      </c>
      <c r="J42">
        <f t="shared" si="4"/>
        <v>-101.59326991676576</v>
      </c>
      <c r="K42">
        <f t="shared" si="5"/>
        <v>2.3324613555291318</v>
      </c>
      <c r="L42">
        <f t="shared" si="6"/>
        <v>-22.420583705768998</v>
      </c>
      <c r="M42">
        <v>101990</v>
      </c>
      <c r="N42">
        <v>3.230769</v>
      </c>
      <c r="O42">
        <v>3.4</v>
      </c>
      <c r="P42">
        <v>4</v>
      </c>
      <c r="Q42">
        <v>4.7142860000000004</v>
      </c>
      <c r="R42">
        <v>5.0769229999999999</v>
      </c>
      <c r="S42">
        <v>4.8571429999999998</v>
      </c>
      <c r="T42" t="s">
        <v>136</v>
      </c>
      <c r="U42" t="s">
        <v>132</v>
      </c>
      <c r="V42">
        <v>4.22</v>
      </c>
      <c r="W42">
        <v>4</v>
      </c>
      <c r="X42">
        <v>0</v>
      </c>
      <c r="Y42">
        <v>0</v>
      </c>
      <c r="Z42">
        <v>0</v>
      </c>
      <c r="AA42">
        <v>6.5</v>
      </c>
      <c r="AB42">
        <v>3.33</v>
      </c>
      <c r="AC42">
        <v>5.88</v>
      </c>
      <c r="AD42">
        <v>4.67</v>
      </c>
      <c r="AE42">
        <v>5.27</v>
      </c>
      <c r="AF42">
        <v>11</v>
      </c>
      <c r="AG42">
        <v>2</v>
      </c>
      <c r="AH42">
        <v>9</v>
      </c>
      <c r="AI42">
        <v>0</v>
      </c>
      <c r="AJ42">
        <v>0</v>
      </c>
      <c r="AK42">
        <v>4</v>
      </c>
      <c r="AL42">
        <v>6</v>
      </c>
      <c r="AM42">
        <v>5</v>
      </c>
      <c r="AN42">
        <v>7</v>
      </c>
      <c r="AO42">
        <v>1</v>
      </c>
      <c r="AP42">
        <v>23</v>
      </c>
      <c r="AQ42">
        <v>16</v>
      </c>
      <c r="AR42">
        <v>12</v>
      </c>
      <c r="AS42">
        <v>0</v>
      </c>
      <c r="AT42">
        <v>0</v>
      </c>
      <c r="AU42">
        <v>6.42</v>
      </c>
      <c r="AV42">
        <v>7</v>
      </c>
      <c r="AW42">
        <v>6.5</v>
      </c>
      <c r="AX42">
        <v>5.75</v>
      </c>
      <c r="AZ42">
        <v>13</v>
      </c>
      <c r="BA42">
        <v>4.83</v>
      </c>
      <c r="BC42">
        <v>2.5</v>
      </c>
      <c r="BD42">
        <v>9999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20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8991</v>
      </c>
      <c r="BY42">
        <v>0</v>
      </c>
      <c r="BZ42">
        <v>0</v>
      </c>
      <c r="CA42">
        <v>0</v>
      </c>
      <c r="CB42">
        <v>0</v>
      </c>
      <c r="CC42">
        <v>3</v>
      </c>
      <c r="CD42">
        <v>4.2</v>
      </c>
      <c r="CE42">
        <v>3.6</v>
      </c>
      <c r="CF42">
        <v>3.6</v>
      </c>
      <c r="CG42">
        <v>6</v>
      </c>
      <c r="CH42">
        <v>5.1666666666666599</v>
      </c>
      <c r="CI42">
        <v>6</v>
      </c>
      <c r="CJ42">
        <v>5.1666666666666599</v>
      </c>
      <c r="CK42">
        <v>0.5</v>
      </c>
      <c r="CL42">
        <v>0</v>
      </c>
      <c r="CM42">
        <v>0</v>
      </c>
      <c r="CN42">
        <v>36</v>
      </c>
      <c r="CO42">
        <v>20</v>
      </c>
      <c r="CP42">
        <v>12</v>
      </c>
      <c r="CQ42">
        <v>1</v>
      </c>
      <c r="CR42">
        <v>48</v>
      </c>
      <c r="CS42">
        <v>0</v>
      </c>
      <c r="CT42">
        <v>0</v>
      </c>
      <c r="CU42" s="1">
        <v>0</v>
      </c>
      <c r="CV42" s="1">
        <v>37</v>
      </c>
      <c r="CW42">
        <v>43</v>
      </c>
      <c r="CX42">
        <v>60</v>
      </c>
      <c r="CY42">
        <v>38</v>
      </c>
      <c r="CZ42">
        <v>60</v>
      </c>
      <c r="DA42">
        <v>33</v>
      </c>
      <c r="DB42">
        <v>60</v>
      </c>
      <c r="DC42">
        <v>0</v>
      </c>
      <c r="DD42">
        <v>0</v>
      </c>
      <c r="DE42">
        <v>6</v>
      </c>
      <c r="DF42">
        <v>2</v>
      </c>
      <c r="DG42">
        <v>45085</v>
      </c>
      <c r="DH42">
        <v>32927</v>
      </c>
      <c r="DI42">
        <v>33.29</v>
      </c>
      <c r="DJ42">
        <v>1</v>
      </c>
      <c r="DK42">
        <v>1</v>
      </c>
      <c r="DL42">
        <v>2</v>
      </c>
      <c r="DM42">
        <v>0</v>
      </c>
      <c r="DN42">
        <v>2</v>
      </c>
      <c r="DO42">
        <v>5</v>
      </c>
      <c r="DP42">
        <v>28</v>
      </c>
      <c r="DQ42">
        <v>3.0625</v>
      </c>
      <c r="DR42">
        <v>8</v>
      </c>
      <c r="DS42">
        <v>3</v>
      </c>
      <c r="DT42">
        <v>12</v>
      </c>
      <c r="DU42">
        <v>4</v>
      </c>
      <c r="DV42">
        <v>16</v>
      </c>
      <c r="DW42">
        <v>6</v>
      </c>
      <c r="DY42">
        <v>6</v>
      </c>
      <c r="DZ42">
        <v>4</v>
      </c>
      <c r="EA42">
        <v>9</v>
      </c>
      <c r="EB42">
        <v>6</v>
      </c>
      <c r="EC42" t="s">
        <v>133</v>
      </c>
      <c r="ED42" t="s">
        <v>133</v>
      </c>
      <c r="EE42" t="s">
        <v>133</v>
      </c>
      <c r="EF42" t="s">
        <v>133</v>
      </c>
      <c r="EG42" t="s">
        <v>133</v>
      </c>
      <c r="EH42">
        <v>9</v>
      </c>
      <c r="EI42">
        <v>0</v>
      </c>
      <c r="EJ42" t="s">
        <v>133</v>
      </c>
      <c r="EK42" t="s">
        <v>133</v>
      </c>
      <c r="EL42" t="s">
        <v>133</v>
      </c>
      <c r="EM42" t="s">
        <v>133</v>
      </c>
      <c r="EN42" t="s">
        <v>133</v>
      </c>
      <c r="EO42" t="s">
        <v>133</v>
      </c>
      <c r="EP42" t="s">
        <v>133</v>
      </c>
      <c r="EQ42" t="s">
        <v>133</v>
      </c>
      <c r="ER42" t="s">
        <v>133</v>
      </c>
      <c r="ES42" t="s">
        <v>133</v>
      </c>
    </row>
    <row r="43" spans="1:149" x14ac:dyDescent="0.2">
      <c r="A43">
        <v>10723</v>
      </c>
      <c r="B43">
        <v>21.7</v>
      </c>
      <c r="C43">
        <f t="shared" si="0"/>
        <v>-21.352413793103448</v>
      </c>
      <c r="D43">
        <v>3</v>
      </c>
      <c r="E43">
        <f t="shared" si="1"/>
        <v>-7.9310344827586032E-2</v>
      </c>
      <c r="F43">
        <v>0</v>
      </c>
      <c r="G43">
        <f t="shared" si="2"/>
        <v>-7.431034482758621</v>
      </c>
      <c r="H43">
        <v>3.9166666666666599</v>
      </c>
      <c r="I43">
        <f t="shared" si="3"/>
        <v>1.6934673008323387</v>
      </c>
      <c r="J43">
        <f t="shared" si="4"/>
        <v>158.67052318668252</v>
      </c>
      <c r="K43">
        <f t="shared" si="5"/>
        <v>0.58935790725326864</v>
      </c>
      <c r="L43">
        <f t="shared" si="6"/>
        <v>-12.584213907909275</v>
      </c>
      <c r="M43">
        <v>11601</v>
      </c>
      <c r="N43">
        <v>4.5</v>
      </c>
      <c r="O43">
        <v>3.3333330000000001</v>
      </c>
      <c r="P43">
        <v>4</v>
      </c>
      <c r="Q43">
        <v>3.454545</v>
      </c>
      <c r="R43">
        <v>4.3636359999999996</v>
      </c>
      <c r="S43">
        <v>4.6666670000000003</v>
      </c>
      <c r="T43" t="s">
        <v>137</v>
      </c>
      <c r="U43" t="s">
        <v>134</v>
      </c>
      <c r="V43">
        <v>3.67</v>
      </c>
      <c r="W43">
        <v>3.6</v>
      </c>
      <c r="X43">
        <v>0</v>
      </c>
      <c r="Y43">
        <v>10</v>
      </c>
      <c r="Z43">
        <v>0</v>
      </c>
      <c r="AA43">
        <v>4</v>
      </c>
      <c r="AB43">
        <v>3.5</v>
      </c>
      <c r="AC43">
        <v>3.88</v>
      </c>
      <c r="AD43">
        <v>3.17</v>
      </c>
      <c r="AE43">
        <v>3.53</v>
      </c>
      <c r="AF43">
        <v>28</v>
      </c>
      <c r="AG43">
        <v>4</v>
      </c>
      <c r="AH43">
        <v>13</v>
      </c>
      <c r="AI43">
        <v>0</v>
      </c>
      <c r="AJ43">
        <v>11</v>
      </c>
      <c r="AK43">
        <v>8</v>
      </c>
      <c r="AL43">
        <v>9</v>
      </c>
      <c r="AM43">
        <v>5</v>
      </c>
      <c r="AN43">
        <v>7</v>
      </c>
      <c r="AO43">
        <v>8</v>
      </c>
      <c r="AP43">
        <v>37</v>
      </c>
      <c r="AQ43">
        <v>28</v>
      </c>
      <c r="AR43">
        <v>17</v>
      </c>
      <c r="AS43">
        <v>0</v>
      </c>
      <c r="AT43">
        <v>0</v>
      </c>
      <c r="AU43">
        <v>5.83</v>
      </c>
      <c r="AV43">
        <v>6</v>
      </c>
      <c r="AW43">
        <v>6.5</v>
      </c>
      <c r="AX43">
        <v>5</v>
      </c>
      <c r="AZ43">
        <v>17</v>
      </c>
      <c r="BA43">
        <v>4.08</v>
      </c>
      <c r="BC43">
        <v>3.17</v>
      </c>
      <c r="BD43">
        <v>3.94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20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8991</v>
      </c>
      <c r="BY43">
        <v>0</v>
      </c>
      <c r="BZ43">
        <v>0</v>
      </c>
      <c r="CA43">
        <v>0</v>
      </c>
      <c r="CB43">
        <v>0</v>
      </c>
      <c r="CC43">
        <v>2.8</v>
      </c>
      <c r="CD43">
        <v>3.2</v>
      </c>
      <c r="CE43">
        <v>4.0999999999999996</v>
      </c>
      <c r="CF43">
        <v>3.37</v>
      </c>
      <c r="CG43">
        <v>2.3333333333333299</v>
      </c>
      <c r="CH43">
        <v>2.5</v>
      </c>
      <c r="CI43">
        <v>3.5</v>
      </c>
      <c r="CJ43">
        <v>2.1666666666666599</v>
      </c>
      <c r="CK43">
        <v>2.5499999999999998</v>
      </c>
      <c r="CL43">
        <v>0</v>
      </c>
      <c r="CM43">
        <v>0</v>
      </c>
      <c r="CN43">
        <v>28</v>
      </c>
      <c r="CO43">
        <v>37</v>
      </c>
      <c r="CP43">
        <v>9</v>
      </c>
      <c r="CQ43">
        <v>0.81818181818181801</v>
      </c>
      <c r="CR43">
        <v>37</v>
      </c>
      <c r="CS43">
        <v>43</v>
      </c>
      <c r="CT43">
        <v>59</v>
      </c>
      <c r="CU43" s="1">
        <v>27</v>
      </c>
      <c r="CV43" s="1">
        <v>0</v>
      </c>
      <c r="CW43">
        <v>48</v>
      </c>
      <c r="CX43">
        <v>52</v>
      </c>
      <c r="CY43">
        <v>47</v>
      </c>
      <c r="CZ43">
        <v>60</v>
      </c>
      <c r="DA43">
        <v>43</v>
      </c>
      <c r="DB43">
        <v>60</v>
      </c>
      <c r="DC43">
        <v>0</v>
      </c>
      <c r="DD43">
        <v>0</v>
      </c>
      <c r="DE43">
        <v>5</v>
      </c>
      <c r="DF43">
        <v>5</v>
      </c>
      <c r="DG43">
        <v>45086</v>
      </c>
      <c r="DH43">
        <v>37172</v>
      </c>
      <c r="DI43">
        <v>21.67</v>
      </c>
      <c r="DJ43">
        <v>5</v>
      </c>
      <c r="DK43">
        <v>0</v>
      </c>
      <c r="DL43">
        <v>0</v>
      </c>
      <c r="DM43">
        <v>0</v>
      </c>
      <c r="DN43">
        <v>1</v>
      </c>
      <c r="DO43">
        <v>9</v>
      </c>
      <c r="DP43">
        <v>23</v>
      </c>
      <c r="DQ43">
        <v>1.9375</v>
      </c>
      <c r="DR43">
        <v>0</v>
      </c>
      <c r="DS43">
        <v>3</v>
      </c>
      <c r="DT43">
        <v>5</v>
      </c>
      <c r="DU43">
        <v>4</v>
      </c>
      <c r="DV43">
        <v>15</v>
      </c>
      <c r="DW43">
        <v>4</v>
      </c>
      <c r="DY43">
        <v>4</v>
      </c>
      <c r="DZ43">
        <v>3</v>
      </c>
      <c r="EA43">
        <v>4</v>
      </c>
      <c r="EB43">
        <v>4</v>
      </c>
      <c r="EC43" t="s">
        <v>133</v>
      </c>
      <c r="ED43" t="s">
        <v>133</v>
      </c>
      <c r="EE43" t="s">
        <v>133</v>
      </c>
      <c r="EF43">
        <v>2</v>
      </c>
      <c r="EG43">
        <v>19003</v>
      </c>
      <c r="EH43">
        <v>4</v>
      </c>
      <c r="EI43">
        <v>0</v>
      </c>
      <c r="EJ43" t="s">
        <v>133</v>
      </c>
      <c r="EK43" t="s">
        <v>133</v>
      </c>
      <c r="EL43" t="s">
        <v>133</v>
      </c>
      <c r="EM43" t="s">
        <v>133</v>
      </c>
      <c r="EN43" t="s">
        <v>133</v>
      </c>
      <c r="EO43" t="s">
        <v>133</v>
      </c>
      <c r="EP43" t="s">
        <v>133</v>
      </c>
      <c r="EQ43" t="s">
        <v>133</v>
      </c>
      <c r="ER43" t="s">
        <v>133</v>
      </c>
      <c r="ES43" t="s">
        <v>133</v>
      </c>
    </row>
    <row r="44" spans="1:149" x14ac:dyDescent="0.2">
      <c r="A44">
        <v>10741</v>
      </c>
      <c r="B44">
        <v>36.93</v>
      </c>
      <c r="C44">
        <f t="shared" si="0"/>
        <v>-6.1224137931034477</v>
      </c>
      <c r="D44">
        <v>3.8</v>
      </c>
      <c r="E44">
        <f t="shared" si="1"/>
        <v>0.72068965517241379</v>
      </c>
      <c r="F44">
        <v>0</v>
      </c>
      <c r="G44">
        <f t="shared" si="2"/>
        <v>-7.431034482758621</v>
      </c>
      <c r="H44">
        <v>4.3333333333333304</v>
      </c>
      <c r="I44">
        <f t="shared" si="3"/>
        <v>-4.4123602853745538</v>
      </c>
      <c r="J44">
        <f t="shared" si="4"/>
        <v>45.495868014268723</v>
      </c>
      <c r="K44">
        <f t="shared" si="5"/>
        <v>-5.3554696789536269</v>
      </c>
      <c r="L44">
        <f t="shared" si="6"/>
        <v>32.788401430972982</v>
      </c>
      <c r="M44">
        <v>191886</v>
      </c>
      <c r="N44">
        <v>4</v>
      </c>
      <c r="O44">
        <v>3.6666669999999999</v>
      </c>
      <c r="P44">
        <v>3.2727270000000002</v>
      </c>
      <c r="Q44">
        <v>3.2727270000000002</v>
      </c>
      <c r="R44">
        <v>6.1818179999999998</v>
      </c>
      <c r="S44">
        <v>4.7272730000000003</v>
      </c>
      <c r="T44" t="s">
        <v>136</v>
      </c>
      <c r="U44" t="s">
        <v>132</v>
      </c>
      <c r="V44">
        <v>4.33</v>
      </c>
      <c r="W44">
        <v>3.8</v>
      </c>
      <c r="X44">
        <v>4</v>
      </c>
      <c r="Y44">
        <v>12</v>
      </c>
      <c r="Z44">
        <v>0</v>
      </c>
      <c r="AA44">
        <v>5.33</v>
      </c>
      <c r="AB44">
        <v>3.83</v>
      </c>
      <c r="AC44">
        <v>6</v>
      </c>
      <c r="AD44">
        <v>5.67</v>
      </c>
      <c r="AE44">
        <v>5.3</v>
      </c>
      <c r="AF44">
        <v>26</v>
      </c>
      <c r="AG44">
        <v>9</v>
      </c>
      <c r="AH44">
        <v>14</v>
      </c>
      <c r="AI44">
        <v>2</v>
      </c>
      <c r="AJ44">
        <v>1</v>
      </c>
      <c r="AK44">
        <v>1</v>
      </c>
      <c r="AL44">
        <v>4</v>
      </c>
      <c r="AM44">
        <v>6</v>
      </c>
      <c r="AN44">
        <v>2</v>
      </c>
      <c r="AO44">
        <v>2</v>
      </c>
      <c r="AP44">
        <v>15</v>
      </c>
      <c r="AQ44">
        <v>22</v>
      </c>
      <c r="AR44">
        <v>10</v>
      </c>
      <c r="AS44">
        <v>0</v>
      </c>
      <c r="AT44">
        <v>0</v>
      </c>
      <c r="AU44">
        <v>6.67</v>
      </c>
      <c r="AV44">
        <v>7</v>
      </c>
      <c r="AW44">
        <v>6</v>
      </c>
      <c r="AX44">
        <v>7</v>
      </c>
      <c r="AZ44">
        <v>18</v>
      </c>
      <c r="BA44">
        <v>2.75</v>
      </c>
      <c r="BC44">
        <v>1.67</v>
      </c>
      <c r="BD44">
        <v>3.14</v>
      </c>
      <c r="BE44">
        <v>0</v>
      </c>
      <c r="BF44">
        <v>32</v>
      </c>
      <c r="BG44">
        <v>0</v>
      </c>
      <c r="BH44">
        <v>1</v>
      </c>
      <c r="BI44">
        <v>0</v>
      </c>
      <c r="BJ44">
        <v>0.75</v>
      </c>
      <c r="BK44">
        <v>0.25</v>
      </c>
      <c r="BL44">
        <v>0.25</v>
      </c>
      <c r="BM44">
        <v>0</v>
      </c>
      <c r="BN44">
        <v>0.32142857142857101</v>
      </c>
      <c r="BO44">
        <v>101</v>
      </c>
      <c r="BP44">
        <v>81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63</v>
      </c>
      <c r="BW44">
        <v>41</v>
      </c>
      <c r="BX44">
        <v>8991</v>
      </c>
      <c r="BY44">
        <v>0</v>
      </c>
      <c r="BZ44">
        <v>0</v>
      </c>
      <c r="CA44">
        <v>0</v>
      </c>
      <c r="CB44">
        <v>0</v>
      </c>
      <c r="CC44">
        <v>4</v>
      </c>
      <c r="CD44">
        <v>3.5</v>
      </c>
      <c r="CE44">
        <v>3.6</v>
      </c>
      <c r="CF44">
        <v>3.7</v>
      </c>
      <c r="CG44">
        <v>3.5</v>
      </c>
      <c r="CH44">
        <v>3.5</v>
      </c>
      <c r="CI44">
        <v>3.5</v>
      </c>
      <c r="CJ44">
        <v>6</v>
      </c>
      <c r="CK44">
        <v>0.95</v>
      </c>
      <c r="CL44">
        <v>0</v>
      </c>
      <c r="CM44">
        <v>0</v>
      </c>
      <c r="CN44">
        <v>26</v>
      </c>
      <c r="CO44">
        <v>15</v>
      </c>
      <c r="CP44">
        <v>10</v>
      </c>
      <c r="CQ44">
        <v>1</v>
      </c>
      <c r="CR44">
        <v>36</v>
      </c>
      <c r="CS44">
        <v>0</v>
      </c>
      <c r="CT44">
        <v>0</v>
      </c>
      <c r="CU44" s="1">
        <v>29</v>
      </c>
      <c r="CV44" s="1">
        <v>30</v>
      </c>
      <c r="CW44">
        <v>48</v>
      </c>
      <c r="CX44">
        <v>60</v>
      </c>
      <c r="CY44">
        <v>45</v>
      </c>
      <c r="CZ44">
        <v>60</v>
      </c>
      <c r="DA44">
        <v>0</v>
      </c>
      <c r="DB44">
        <v>0</v>
      </c>
      <c r="DC44">
        <v>0</v>
      </c>
      <c r="DD44">
        <v>0</v>
      </c>
      <c r="DE44">
        <v>6</v>
      </c>
      <c r="DF44">
        <v>1</v>
      </c>
      <c r="DG44">
        <v>45015</v>
      </c>
      <c r="DH44">
        <v>31616</v>
      </c>
      <c r="DI44">
        <v>36.69</v>
      </c>
      <c r="DJ44">
        <v>1</v>
      </c>
      <c r="DK44">
        <v>1</v>
      </c>
      <c r="DL44">
        <v>8</v>
      </c>
      <c r="DM44">
        <v>0</v>
      </c>
      <c r="DN44">
        <v>1</v>
      </c>
      <c r="DO44">
        <v>11</v>
      </c>
      <c r="DP44">
        <v>28</v>
      </c>
      <c r="DQ44">
        <v>2.6111111111111098</v>
      </c>
      <c r="DR44">
        <v>9</v>
      </c>
      <c r="DS44">
        <v>999</v>
      </c>
      <c r="DT44">
        <v>8</v>
      </c>
      <c r="DU44">
        <v>3</v>
      </c>
      <c r="DV44">
        <v>999</v>
      </c>
      <c r="DW44">
        <v>7</v>
      </c>
      <c r="DY44">
        <v>5</v>
      </c>
      <c r="DZ44">
        <v>2</v>
      </c>
      <c r="EA44">
        <v>5</v>
      </c>
      <c r="EB44">
        <v>5</v>
      </c>
      <c r="EC44" t="s">
        <v>133</v>
      </c>
      <c r="ED44" t="s">
        <v>133</v>
      </c>
      <c r="EE44" t="s">
        <v>133</v>
      </c>
      <c r="EF44" t="s">
        <v>133</v>
      </c>
      <c r="EG44">
        <v>19061</v>
      </c>
      <c r="EH44">
        <v>5</v>
      </c>
      <c r="EI44">
        <v>1</v>
      </c>
      <c r="EJ44" t="s">
        <v>133</v>
      </c>
      <c r="EK44" t="s">
        <v>133</v>
      </c>
      <c r="EL44" t="s">
        <v>133</v>
      </c>
      <c r="EM44" t="s">
        <v>133</v>
      </c>
      <c r="EN44" t="s">
        <v>133</v>
      </c>
      <c r="EO44" t="s">
        <v>133</v>
      </c>
      <c r="EP44" t="s">
        <v>133</v>
      </c>
      <c r="EQ44" t="s">
        <v>133</v>
      </c>
      <c r="ER44" t="s">
        <v>133</v>
      </c>
      <c r="ES44" t="s">
        <v>133</v>
      </c>
    </row>
    <row r="45" spans="1:149" x14ac:dyDescent="0.2">
      <c r="A45">
        <v>10748</v>
      </c>
      <c r="B45">
        <v>33.299999999999997</v>
      </c>
      <c r="C45">
        <f t="shared" si="0"/>
        <v>-9.7524137931034502</v>
      </c>
      <c r="D45">
        <v>2</v>
      </c>
      <c r="E45">
        <f t="shared" si="1"/>
        <v>-1.079310344827586</v>
      </c>
      <c r="F45">
        <v>20</v>
      </c>
      <c r="G45">
        <f t="shared" si="2"/>
        <v>12.568965517241379</v>
      </c>
      <c r="H45">
        <v>3.9166666666666599</v>
      </c>
      <c r="I45">
        <f t="shared" si="3"/>
        <v>10.525881093935791</v>
      </c>
      <c r="J45">
        <f t="shared" si="4"/>
        <v>-122.57775267538646</v>
      </c>
      <c r="K45">
        <f t="shared" si="5"/>
        <v>-13.56581450653983</v>
      </c>
      <c r="L45">
        <f t="shared" si="6"/>
        <v>132.29943650826192</v>
      </c>
      <c r="M45">
        <v>130190</v>
      </c>
      <c r="N45">
        <v>4.3076920000000003</v>
      </c>
      <c r="O45">
        <v>6.461538</v>
      </c>
      <c r="P45">
        <v>4.2857139999999996</v>
      </c>
      <c r="Q45">
        <v>4.3076920000000003</v>
      </c>
      <c r="R45">
        <v>5.538462</v>
      </c>
      <c r="S45">
        <v>5.3846150000000002</v>
      </c>
      <c r="T45" t="s">
        <v>136</v>
      </c>
      <c r="U45" t="s">
        <v>132</v>
      </c>
      <c r="V45">
        <v>3.56</v>
      </c>
      <c r="W45">
        <v>4.4000000000000004</v>
      </c>
      <c r="X45">
        <v>2</v>
      </c>
      <c r="Y45">
        <v>2</v>
      </c>
      <c r="Z45">
        <v>0</v>
      </c>
      <c r="AA45">
        <v>6.5</v>
      </c>
      <c r="AB45">
        <v>5.5</v>
      </c>
      <c r="AC45">
        <v>5.38</v>
      </c>
      <c r="AD45">
        <v>4.33</v>
      </c>
      <c r="AE45">
        <v>5.57</v>
      </c>
      <c r="AF45">
        <v>4</v>
      </c>
      <c r="AG45">
        <v>0</v>
      </c>
      <c r="AH45">
        <v>3</v>
      </c>
      <c r="AI45">
        <v>0</v>
      </c>
      <c r="AJ45">
        <v>1</v>
      </c>
      <c r="AK45">
        <v>5</v>
      </c>
      <c r="AL45">
        <v>4</v>
      </c>
      <c r="AM45">
        <v>4</v>
      </c>
      <c r="AN45">
        <v>5</v>
      </c>
      <c r="AO45">
        <v>2</v>
      </c>
      <c r="AP45">
        <v>20</v>
      </c>
      <c r="AQ45">
        <v>43</v>
      </c>
      <c r="AR45">
        <v>13</v>
      </c>
      <c r="AS45">
        <v>1</v>
      </c>
      <c r="AT45">
        <v>1</v>
      </c>
      <c r="AU45">
        <v>5.67</v>
      </c>
      <c r="AV45">
        <v>6.75</v>
      </c>
      <c r="AW45">
        <v>5.75</v>
      </c>
      <c r="AX45">
        <v>4.5</v>
      </c>
      <c r="AZ45">
        <v>14</v>
      </c>
      <c r="BA45">
        <v>4.5</v>
      </c>
      <c r="BC45">
        <v>2.83</v>
      </c>
      <c r="BD45">
        <v>9999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20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8991</v>
      </c>
      <c r="BY45">
        <v>0</v>
      </c>
      <c r="BZ45">
        <v>0</v>
      </c>
      <c r="CA45">
        <v>0</v>
      </c>
      <c r="CB45">
        <v>0</v>
      </c>
      <c r="CC45">
        <v>4</v>
      </c>
      <c r="CD45">
        <v>3.6</v>
      </c>
      <c r="CE45">
        <v>3.8</v>
      </c>
      <c r="CF45">
        <v>3.8</v>
      </c>
      <c r="CG45">
        <v>6</v>
      </c>
      <c r="CH45">
        <v>5.6666666666666599</v>
      </c>
      <c r="CI45">
        <v>5.6666666666666599</v>
      </c>
      <c r="CJ45">
        <v>5.3333333333333304</v>
      </c>
      <c r="CK45">
        <v>0.55000000000000004</v>
      </c>
      <c r="CL45">
        <v>0</v>
      </c>
      <c r="CM45">
        <v>0</v>
      </c>
      <c r="CN45">
        <v>29</v>
      </c>
      <c r="CO45">
        <v>20</v>
      </c>
      <c r="CP45">
        <v>12</v>
      </c>
      <c r="CQ45">
        <v>1</v>
      </c>
      <c r="CR45">
        <v>41</v>
      </c>
      <c r="CS45">
        <v>35</v>
      </c>
      <c r="CT45">
        <v>45</v>
      </c>
      <c r="CU45" s="1">
        <v>27</v>
      </c>
      <c r="CV45" s="1">
        <v>34</v>
      </c>
      <c r="CW45">
        <v>47</v>
      </c>
      <c r="CX45">
        <v>50</v>
      </c>
      <c r="CY45">
        <v>48</v>
      </c>
      <c r="CZ45">
        <v>54</v>
      </c>
      <c r="DA45">
        <v>45</v>
      </c>
      <c r="DB45">
        <v>60</v>
      </c>
      <c r="DC45">
        <v>0</v>
      </c>
      <c r="DD45">
        <v>2</v>
      </c>
      <c r="DE45">
        <v>7</v>
      </c>
      <c r="DF45">
        <v>3</v>
      </c>
      <c r="DG45">
        <v>45025</v>
      </c>
      <c r="DH45">
        <v>32939</v>
      </c>
      <c r="DI45">
        <v>33.090000000000003</v>
      </c>
      <c r="DJ45">
        <v>1</v>
      </c>
      <c r="DK45">
        <v>1</v>
      </c>
      <c r="DL45">
        <v>2</v>
      </c>
      <c r="DM45">
        <v>3</v>
      </c>
      <c r="DN45">
        <v>0</v>
      </c>
      <c r="DO45">
        <v>6</v>
      </c>
      <c r="DP45">
        <v>0</v>
      </c>
      <c r="DQ45">
        <v>3.4375</v>
      </c>
      <c r="DR45">
        <v>11</v>
      </c>
      <c r="DS45">
        <v>1</v>
      </c>
      <c r="DT45">
        <v>10</v>
      </c>
      <c r="DU45">
        <v>4</v>
      </c>
      <c r="DV45">
        <v>18</v>
      </c>
      <c r="DW45">
        <v>11</v>
      </c>
      <c r="DY45">
        <v>6</v>
      </c>
      <c r="DZ45">
        <v>2</v>
      </c>
      <c r="EA45">
        <v>6</v>
      </c>
      <c r="EB45">
        <v>6</v>
      </c>
      <c r="EC45" t="s">
        <v>133</v>
      </c>
      <c r="ED45" t="s">
        <v>133</v>
      </c>
      <c r="EE45" t="s">
        <v>133</v>
      </c>
      <c r="EF45">
        <v>1</v>
      </c>
      <c r="EG45">
        <v>19111</v>
      </c>
      <c r="EH45">
        <v>6</v>
      </c>
      <c r="EI45">
        <v>1</v>
      </c>
      <c r="EJ45" t="s">
        <v>133</v>
      </c>
      <c r="EK45" t="s">
        <v>133</v>
      </c>
      <c r="EL45" t="s">
        <v>133</v>
      </c>
      <c r="EM45" t="s">
        <v>133</v>
      </c>
      <c r="EN45" t="s">
        <v>133</v>
      </c>
      <c r="EO45" t="s">
        <v>133</v>
      </c>
      <c r="EP45" t="s">
        <v>133</v>
      </c>
      <c r="EQ45" t="s">
        <v>133</v>
      </c>
      <c r="ER45" t="s">
        <v>133</v>
      </c>
      <c r="ES45" t="s">
        <v>133</v>
      </c>
    </row>
    <row r="46" spans="1:149" x14ac:dyDescent="0.2">
      <c r="A46">
        <v>10767</v>
      </c>
      <c r="B46">
        <v>25.51</v>
      </c>
      <c r="C46">
        <f t="shared" si="0"/>
        <v>-17.542413793103446</v>
      </c>
      <c r="D46">
        <v>3.5</v>
      </c>
      <c r="E46">
        <f t="shared" si="1"/>
        <v>0.42068965517241397</v>
      </c>
      <c r="F46">
        <v>19</v>
      </c>
      <c r="G46">
        <f t="shared" si="2"/>
        <v>11.568965517241379</v>
      </c>
      <c r="H46">
        <v>4.8333333333333304</v>
      </c>
      <c r="I46">
        <f t="shared" si="3"/>
        <v>-7.3799120095124868</v>
      </c>
      <c r="J46">
        <f t="shared" si="4"/>
        <v>-202.94758026159332</v>
      </c>
      <c r="K46">
        <f t="shared" si="5"/>
        <v>4.866944114149824</v>
      </c>
      <c r="L46">
        <f t="shared" si="6"/>
        <v>-85.377947558325488</v>
      </c>
      <c r="M46">
        <v>130798</v>
      </c>
      <c r="N46">
        <v>2.25</v>
      </c>
      <c r="O46">
        <v>2.8571430000000002</v>
      </c>
      <c r="P46">
        <v>3.538462</v>
      </c>
      <c r="Q46">
        <v>3.714286</v>
      </c>
      <c r="R46">
        <v>5.8571429999999998</v>
      </c>
      <c r="S46">
        <v>6.3076920000000003</v>
      </c>
      <c r="T46" t="s">
        <v>131</v>
      </c>
      <c r="U46" t="s">
        <v>132</v>
      </c>
      <c r="V46">
        <v>4.5599999999999996</v>
      </c>
      <c r="W46">
        <v>3.7</v>
      </c>
      <c r="X46">
        <v>1</v>
      </c>
      <c r="Y46">
        <v>5</v>
      </c>
      <c r="Z46">
        <v>0</v>
      </c>
      <c r="AA46">
        <v>5</v>
      </c>
      <c r="AB46">
        <v>4.17</v>
      </c>
      <c r="AC46">
        <v>4.63</v>
      </c>
      <c r="AD46">
        <v>4.17</v>
      </c>
      <c r="AE46">
        <v>4.47</v>
      </c>
      <c r="AF46">
        <v>41</v>
      </c>
      <c r="AG46">
        <v>11</v>
      </c>
      <c r="AH46">
        <v>14</v>
      </c>
      <c r="AI46">
        <v>4</v>
      </c>
      <c r="AJ46">
        <v>12</v>
      </c>
      <c r="AK46">
        <v>4</v>
      </c>
      <c r="AL46">
        <v>3</v>
      </c>
      <c r="AM46">
        <v>4</v>
      </c>
      <c r="AN46">
        <v>4</v>
      </c>
      <c r="AO46">
        <v>1</v>
      </c>
      <c r="AP46">
        <v>16</v>
      </c>
      <c r="AQ46">
        <v>22</v>
      </c>
      <c r="AR46">
        <v>13</v>
      </c>
      <c r="AS46">
        <v>0</v>
      </c>
      <c r="AT46">
        <v>0</v>
      </c>
      <c r="AU46">
        <v>6</v>
      </c>
      <c r="AV46">
        <v>6</v>
      </c>
      <c r="AW46">
        <v>6</v>
      </c>
      <c r="AX46">
        <v>6</v>
      </c>
      <c r="AZ46">
        <v>12</v>
      </c>
      <c r="BA46">
        <v>4.5</v>
      </c>
      <c r="BC46">
        <v>2.67</v>
      </c>
      <c r="BD46">
        <v>9999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20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8991</v>
      </c>
      <c r="BY46">
        <v>0</v>
      </c>
      <c r="BZ46">
        <v>0</v>
      </c>
      <c r="CA46">
        <v>0</v>
      </c>
      <c r="CB46">
        <v>0</v>
      </c>
      <c r="CC46">
        <v>3.5</v>
      </c>
      <c r="CD46">
        <v>3.9</v>
      </c>
      <c r="CE46">
        <v>3.9</v>
      </c>
      <c r="CF46">
        <v>3.77</v>
      </c>
      <c r="CG46">
        <v>4.1666666666666599</v>
      </c>
      <c r="CH46">
        <v>4.3333333333333304</v>
      </c>
      <c r="CI46">
        <v>4.5</v>
      </c>
      <c r="CJ46">
        <v>4.1666666666666599</v>
      </c>
      <c r="CK46">
        <v>2.2000000000000002</v>
      </c>
      <c r="CL46">
        <v>0</v>
      </c>
      <c r="CM46">
        <v>0</v>
      </c>
      <c r="CN46">
        <v>33</v>
      </c>
      <c r="CO46">
        <v>22</v>
      </c>
      <c r="CP46">
        <v>10</v>
      </c>
      <c r="CQ46">
        <v>0.83333333333333304</v>
      </c>
      <c r="CR46">
        <v>43</v>
      </c>
      <c r="CS46">
        <v>45</v>
      </c>
      <c r="CT46">
        <v>57</v>
      </c>
      <c r="CU46" s="1">
        <v>24</v>
      </c>
      <c r="CV46" s="1">
        <v>36</v>
      </c>
      <c r="CW46">
        <v>46</v>
      </c>
      <c r="CX46">
        <v>60</v>
      </c>
      <c r="CY46">
        <v>46</v>
      </c>
      <c r="CZ46">
        <v>60</v>
      </c>
      <c r="DA46">
        <v>35</v>
      </c>
      <c r="DB46">
        <v>60</v>
      </c>
      <c r="DC46">
        <v>4</v>
      </c>
      <c r="DD46">
        <v>4</v>
      </c>
      <c r="DE46">
        <v>5</v>
      </c>
      <c r="DF46">
        <v>2</v>
      </c>
      <c r="DG46">
        <v>45096</v>
      </c>
      <c r="DH46">
        <v>35821</v>
      </c>
      <c r="DI46">
        <v>25.39</v>
      </c>
      <c r="DJ46">
        <v>4</v>
      </c>
      <c r="DK46">
        <v>1</v>
      </c>
      <c r="DL46">
        <v>2</v>
      </c>
      <c r="DM46">
        <v>0</v>
      </c>
      <c r="DN46">
        <v>4</v>
      </c>
      <c r="DO46">
        <v>14</v>
      </c>
      <c r="DP46">
        <v>27</v>
      </c>
      <c r="DQ46">
        <v>3.375</v>
      </c>
      <c r="DR46">
        <v>5</v>
      </c>
      <c r="DS46">
        <v>8</v>
      </c>
      <c r="DT46">
        <v>11</v>
      </c>
      <c r="DU46">
        <v>3</v>
      </c>
      <c r="DV46">
        <v>15</v>
      </c>
      <c r="DW46">
        <v>12</v>
      </c>
      <c r="DY46">
        <v>5</v>
      </c>
      <c r="DZ46">
        <v>0</v>
      </c>
      <c r="EA46">
        <v>5</v>
      </c>
      <c r="EB46">
        <v>5</v>
      </c>
      <c r="EC46" t="s">
        <v>133</v>
      </c>
      <c r="ED46" t="s">
        <v>133</v>
      </c>
      <c r="EE46" t="s">
        <v>133</v>
      </c>
      <c r="EF46">
        <v>0</v>
      </c>
      <c r="EG46">
        <v>95129</v>
      </c>
      <c r="EH46">
        <v>5</v>
      </c>
      <c r="EI46">
        <v>0</v>
      </c>
      <c r="EJ46" t="s">
        <v>133</v>
      </c>
      <c r="EK46" t="s">
        <v>133</v>
      </c>
      <c r="EL46" t="s">
        <v>133</v>
      </c>
      <c r="EM46">
        <v>14</v>
      </c>
      <c r="EN46">
        <v>14</v>
      </c>
      <c r="EO46">
        <v>12</v>
      </c>
      <c r="EP46">
        <v>12</v>
      </c>
      <c r="EQ46">
        <v>16</v>
      </c>
      <c r="ER46" t="s">
        <v>133</v>
      </c>
      <c r="ES46" t="s">
        <v>133</v>
      </c>
    </row>
    <row r="47" spans="1:149" x14ac:dyDescent="0.2">
      <c r="A47">
        <v>10774</v>
      </c>
      <c r="B47">
        <v>46</v>
      </c>
      <c r="C47">
        <f t="shared" si="0"/>
        <v>2.9475862068965526</v>
      </c>
      <c r="D47">
        <v>1.9</v>
      </c>
      <c r="E47">
        <f t="shared" si="1"/>
        <v>-1.1793103448275861</v>
      </c>
      <c r="F47">
        <v>12</v>
      </c>
      <c r="G47">
        <f t="shared" si="2"/>
        <v>4.568965517241379</v>
      </c>
      <c r="H47">
        <v>6.3333333333333304</v>
      </c>
      <c r="I47">
        <f t="shared" si="3"/>
        <v>-3.4761189060642099</v>
      </c>
      <c r="J47">
        <f t="shared" si="4"/>
        <v>13.467419738406662</v>
      </c>
      <c r="K47">
        <f t="shared" si="5"/>
        <v>-5.3882282996432806</v>
      </c>
      <c r="L47">
        <f t="shared" si="6"/>
        <v>-15.8822674156382</v>
      </c>
      <c r="M47">
        <v>41376</v>
      </c>
      <c r="N47" t="s">
        <v>133</v>
      </c>
      <c r="O47" t="s">
        <v>133</v>
      </c>
      <c r="P47" t="s">
        <v>133</v>
      </c>
      <c r="Q47" t="s">
        <v>133</v>
      </c>
      <c r="R47" t="s">
        <v>133</v>
      </c>
      <c r="S47" t="s">
        <v>133</v>
      </c>
      <c r="T47" t="s">
        <v>139</v>
      </c>
      <c r="U47" t="s">
        <v>132</v>
      </c>
      <c r="V47">
        <v>3.44</v>
      </c>
      <c r="W47">
        <v>3.7</v>
      </c>
      <c r="X47">
        <v>0</v>
      </c>
      <c r="Y47">
        <v>0</v>
      </c>
      <c r="Z47">
        <v>0</v>
      </c>
      <c r="AA47">
        <v>5.5</v>
      </c>
      <c r="AB47">
        <v>5.83</v>
      </c>
      <c r="AC47">
        <v>5.88</v>
      </c>
      <c r="AD47">
        <v>5.17</v>
      </c>
      <c r="AE47">
        <v>5.6</v>
      </c>
      <c r="AF47">
        <v>5</v>
      </c>
      <c r="AG47">
        <v>1</v>
      </c>
      <c r="AH47">
        <v>1</v>
      </c>
      <c r="AI47">
        <v>1</v>
      </c>
      <c r="AJ47">
        <v>2</v>
      </c>
      <c r="AK47">
        <v>5</v>
      </c>
      <c r="AL47">
        <v>3</v>
      </c>
      <c r="AM47">
        <v>7</v>
      </c>
      <c r="AN47">
        <v>5</v>
      </c>
      <c r="AO47">
        <v>7</v>
      </c>
      <c r="AP47">
        <v>27</v>
      </c>
      <c r="AQ47">
        <v>21</v>
      </c>
      <c r="AR47">
        <v>10</v>
      </c>
      <c r="AS47">
        <v>0</v>
      </c>
      <c r="AT47">
        <v>0</v>
      </c>
      <c r="AU47">
        <v>5.58</v>
      </c>
      <c r="AV47">
        <v>5.75</v>
      </c>
      <c r="AW47">
        <v>5</v>
      </c>
      <c r="AX47">
        <v>6</v>
      </c>
      <c r="AZ47">
        <v>6</v>
      </c>
      <c r="BA47">
        <v>1.75</v>
      </c>
      <c r="BC47">
        <v>2.17</v>
      </c>
      <c r="BD47">
        <v>9999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20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8991</v>
      </c>
      <c r="BY47">
        <v>0</v>
      </c>
      <c r="BZ47">
        <v>0</v>
      </c>
      <c r="CA47">
        <v>0</v>
      </c>
      <c r="CB47">
        <v>0</v>
      </c>
      <c r="CC47">
        <v>4</v>
      </c>
      <c r="CD47">
        <v>3.7</v>
      </c>
      <c r="CE47">
        <v>4.0999999999999996</v>
      </c>
      <c r="CF47">
        <v>3.93</v>
      </c>
      <c r="CG47">
        <v>4.3333333333333002</v>
      </c>
      <c r="CH47">
        <v>3.5</v>
      </c>
      <c r="CI47">
        <v>2.6666666666666998</v>
      </c>
      <c r="CJ47">
        <v>3.5</v>
      </c>
      <c r="CK47">
        <v>1.2</v>
      </c>
      <c r="CL47">
        <v>0</v>
      </c>
      <c r="CM47">
        <v>0</v>
      </c>
      <c r="CN47">
        <v>26</v>
      </c>
      <c r="CO47">
        <v>25</v>
      </c>
      <c r="CP47">
        <v>8</v>
      </c>
      <c r="CQ47">
        <v>0.8</v>
      </c>
      <c r="CR47">
        <v>32</v>
      </c>
      <c r="CS47">
        <v>26</v>
      </c>
      <c r="CT47">
        <v>51</v>
      </c>
      <c r="CU47" s="1">
        <v>21</v>
      </c>
      <c r="CV47" s="1">
        <v>29</v>
      </c>
      <c r="CW47">
        <v>48</v>
      </c>
      <c r="CX47">
        <v>52</v>
      </c>
      <c r="CY47">
        <v>48</v>
      </c>
      <c r="CZ47">
        <v>47</v>
      </c>
      <c r="DA47">
        <v>48</v>
      </c>
      <c r="DB47">
        <v>47</v>
      </c>
      <c r="DC47">
        <v>0</v>
      </c>
      <c r="DD47">
        <v>0</v>
      </c>
      <c r="DE47">
        <v>6</v>
      </c>
      <c r="DF47">
        <v>3</v>
      </c>
      <c r="DG47">
        <v>45116</v>
      </c>
      <c r="DH47">
        <v>28026</v>
      </c>
      <c r="DI47">
        <v>46.79</v>
      </c>
      <c r="DJ47">
        <v>0</v>
      </c>
      <c r="DK47">
        <v>1</v>
      </c>
      <c r="DL47">
        <v>2</v>
      </c>
      <c r="DM47">
        <v>2</v>
      </c>
      <c r="DN47">
        <v>0</v>
      </c>
      <c r="DO47">
        <v>0</v>
      </c>
      <c r="DP47">
        <v>0</v>
      </c>
      <c r="DQ47">
        <v>3.875</v>
      </c>
      <c r="DR47">
        <v>12</v>
      </c>
      <c r="DS47">
        <v>6</v>
      </c>
      <c r="DT47">
        <v>12</v>
      </c>
      <c r="DU47">
        <v>4</v>
      </c>
      <c r="DV47">
        <v>18</v>
      </c>
      <c r="DW47">
        <v>10</v>
      </c>
      <c r="DY47">
        <v>6</v>
      </c>
      <c r="DZ47">
        <v>4</v>
      </c>
      <c r="EA47">
        <v>8</v>
      </c>
      <c r="EB47">
        <v>6</v>
      </c>
      <c r="EC47" t="s">
        <v>133</v>
      </c>
      <c r="ED47" t="s">
        <v>133</v>
      </c>
      <c r="EE47" t="s">
        <v>133</v>
      </c>
      <c r="EF47">
        <v>1</v>
      </c>
      <c r="EG47">
        <v>8024</v>
      </c>
      <c r="EH47">
        <v>8</v>
      </c>
      <c r="EI47">
        <v>0</v>
      </c>
      <c r="EJ47" t="s">
        <v>133</v>
      </c>
      <c r="EK47" t="s">
        <v>133</v>
      </c>
      <c r="EL47" t="s">
        <v>133</v>
      </c>
      <c r="EM47">
        <v>12</v>
      </c>
      <c r="EN47">
        <v>13</v>
      </c>
      <c r="EO47">
        <v>15</v>
      </c>
      <c r="EP47">
        <v>19</v>
      </c>
      <c r="EQ47">
        <v>16</v>
      </c>
      <c r="ER47" t="s">
        <v>133</v>
      </c>
      <c r="ES47" t="s">
        <v>133</v>
      </c>
    </row>
    <row r="48" spans="1:149" x14ac:dyDescent="0.2">
      <c r="A48">
        <v>10777</v>
      </c>
      <c r="B48">
        <v>38.36</v>
      </c>
      <c r="C48">
        <f t="shared" si="0"/>
        <v>-4.692413793103448</v>
      </c>
      <c r="D48">
        <v>3.8</v>
      </c>
      <c r="E48">
        <f t="shared" si="1"/>
        <v>0.72068965517241379</v>
      </c>
      <c r="F48">
        <v>35</v>
      </c>
      <c r="G48">
        <f t="shared" si="2"/>
        <v>27.568965517241381</v>
      </c>
      <c r="H48">
        <v>3.6666666666666599</v>
      </c>
      <c r="I48">
        <f t="shared" si="3"/>
        <v>-3.3817740784780019</v>
      </c>
      <c r="J48">
        <f t="shared" si="4"/>
        <v>-129.36499405469678</v>
      </c>
      <c r="K48">
        <f t="shared" si="5"/>
        <v>19.868668252080859</v>
      </c>
      <c r="L48">
        <f t="shared" si="6"/>
        <v>-93.232012956660782</v>
      </c>
      <c r="M48">
        <v>161685</v>
      </c>
      <c r="N48" t="s">
        <v>133</v>
      </c>
      <c r="O48" t="s">
        <v>133</v>
      </c>
      <c r="P48" t="s">
        <v>133</v>
      </c>
      <c r="Q48" t="s">
        <v>133</v>
      </c>
      <c r="R48" t="s">
        <v>133</v>
      </c>
      <c r="S48" t="s">
        <v>133</v>
      </c>
      <c r="T48" t="s">
        <v>131</v>
      </c>
      <c r="U48" t="s">
        <v>134</v>
      </c>
      <c r="V48">
        <v>3.33</v>
      </c>
      <c r="W48">
        <v>3.2</v>
      </c>
      <c r="X48">
        <v>10</v>
      </c>
      <c r="Y48">
        <v>15</v>
      </c>
      <c r="Z48">
        <v>0</v>
      </c>
      <c r="AA48">
        <v>3.5</v>
      </c>
      <c r="AB48">
        <v>3</v>
      </c>
      <c r="AC48">
        <v>5.88</v>
      </c>
      <c r="AD48">
        <v>4.83</v>
      </c>
      <c r="AE48">
        <v>4.2</v>
      </c>
      <c r="AF48">
        <v>46</v>
      </c>
      <c r="AG48">
        <v>15</v>
      </c>
      <c r="AH48">
        <v>22</v>
      </c>
      <c r="AI48">
        <v>6</v>
      </c>
      <c r="AJ48">
        <v>3</v>
      </c>
      <c r="AK48">
        <v>1</v>
      </c>
      <c r="AL48">
        <v>7</v>
      </c>
      <c r="AM48">
        <v>5</v>
      </c>
      <c r="AN48">
        <v>4</v>
      </c>
      <c r="AO48">
        <v>4</v>
      </c>
      <c r="AP48">
        <v>21</v>
      </c>
      <c r="AQ48">
        <v>25</v>
      </c>
      <c r="AR48">
        <v>15</v>
      </c>
      <c r="AS48">
        <v>1</v>
      </c>
      <c r="AT48">
        <v>0</v>
      </c>
      <c r="AU48">
        <v>5.17</v>
      </c>
      <c r="AV48">
        <v>4.25</v>
      </c>
      <c r="AW48">
        <v>5.75</v>
      </c>
      <c r="AX48">
        <v>5.5</v>
      </c>
      <c r="AZ48">
        <v>19</v>
      </c>
      <c r="BA48">
        <v>2.58</v>
      </c>
      <c r="BC48">
        <v>3</v>
      </c>
      <c r="BD48">
        <v>9999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20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8991</v>
      </c>
      <c r="BY48">
        <v>0</v>
      </c>
      <c r="BZ48">
        <v>0</v>
      </c>
      <c r="CA48">
        <v>0</v>
      </c>
      <c r="CB48">
        <v>0</v>
      </c>
      <c r="CC48">
        <v>1.7</v>
      </c>
      <c r="CD48">
        <v>3.5</v>
      </c>
      <c r="CE48">
        <v>3.1</v>
      </c>
      <c r="CF48">
        <v>2.77</v>
      </c>
      <c r="CG48">
        <v>3.5</v>
      </c>
      <c r="CH48">
        <v>3.5</v>
      </c>
      <c r="CI48">
        <v>3.5</v>
      </c>
      <c r="CJ48">
        <v>3.5</v>
      </c>
      <c r="CK48">
        <v>2.5499999999999998</v>
      </c>
      <c r="CL48">
        <v>0</v>
      </c>
      <c r="CM48">
        <v>0</v>
      </c>
      <c r="CN48">
        <v>19</v>
      </c>
      <c r="CO48">
        <v>18</v>
      </c>
      <c r="CP48">
        <v>5</v>
      </c>
      <c r="CQ48">
        <v>0.625</v>
      </c>
      <c r="CR48">
        <v>22</v>
      </c>
      <c r="CS48">
        <v>50</v>
      </c>
      <c r="CT48">
        <v>57</v>
      </c>
      <c r="CU48" s="1">
        <v>30</v>
      </c>
      <c r="CV48" s="1">
        <v>36</v>
      </c>
      <c r="CW48">
        <v>48</v>
      </c>
      <c r="CX48">
        <v>60</v>
      </c>
      <c r="CY48">
        <v>46</v>
      </c>
      <c r="CZ48">
        <v>60</v>
      </c>
      <c r="DA48">
        <v>37</v>
      </c>
      <c r="DB48">
        <v>60</v>
      </c>
      <c r="DC48">
        <v>0</v>
      </c>
      <c r="DD48">
        <v>0</v>
      </c>
      <c r="DE48">
        <v>5</v>
      </c>
      <c r="DF48">
        <v>4</v>
      </c>
      <c r="DG48">
        <v>45117</v>
      </c>
      <c r="DH48">
        <v>31129</v>
      </c>
      <c r="DI48">
        <v>38.299999999999997</v>
      </c>
      <c r="DJ48">
        <v>4</v>
      </c>
      <c r="DK48">
        <v>0</v>
      </c>
      <c r="DL48">
        <v>9</v>
      </c>
      <c r="DM48">
        <v>12</v>
      </c>
      <c r="DN48">
        <v>5</v>
      </c>
      <c r="DO48">
        <v>17</v>
      </c>
      <c r="DP48">
        <v>28</v>
      </c>
      <c r="DQ48">
        <v>3.0625</v>
      </c>
      <c r="DR48">
        <v>2</v>
      </c>
      <c r="DS48">
        <v>9</v>
      </c>
      <c r="DT48">
        <v>8</v>
      </c>
      <c r="DU48">
        <v>7</v>
      </c>
      <c r="DV48">
        <v>15</v>
      </c>
      <c r="DW48">
        <v>8</v>
      </c>
      <c r="DY48">
        <v>5</v>
      </c>
      <c r="DZ48">
        <v>2</v>
      </c>
      <c r="EA48">
        <v>3</v>
      </c>
      <c r="EB48">
        <v>5</v>
      </c>
      <c r="EC48" t="s">
        <v>133</v>
      </c>
      <c r="ED48" t="s">
        <v>133</v>
      </c>
      <c r="EE48" t="s">
        <v>133</v>
      </c>
      <c r="EF48">
        <v>0</v>
      </c>
      <c r="EG48">
        <v>85234</v>
      </c>
      <c r="EH48">
        <v>3</v>
      </c>
      <c r="EI48">
        <v>1</v>
      </c>
      <c r="EJ48" t="s">
        <v>133</v>
      </c>
      <c r="EK48" t="s">
        <v>133</v>
      </c>
      <c r="EL48" t="s">
        <v>133</v>
      </c>
      <c r="EM48">
        <v>18</v>
      </c>
      <c r="EN48">
        <v>20</v>
      </c>
      <c r="EO48">
        <v>22</v>
      </c>
      <c r="EP48">
        <v>22</v>
      </c>
      <c r="EQ48">
        <v>21</v>
      </c>
      <c r="ER48" t="s">
        <v>133</v>
      </c>
      <c r="ES48" t="s">
        <v>133</v>
      </c>
    </row>
    <row r="49" spans="1:149" x14ac:dyDescent="0.2">
      <c r="A49">
        <v>10781</v>
      </c>
      <c r="B49">
        <v>37.53</v>
      </c>
      <c r="C49">
        <f t="shared" si="0"/>
        <v>-5.5224137931034463</v>
      </c>
      <c r="D49">
        <v>4.3</v>
      </c>
      <c r="E49">
        <f t="shared" si="1"/>
        <v>1.2206896551724138</v>
      </c>
      <c r="F49">
        <v>8</v>
      </c>
      <c r="G49">
        <f t="shared" si="2"/>
        <v>0.568965517241379</v>
      </c>
      <c r="H49">
        <v>6.1666666666666599</v>
      </c>
      <c r="I49">
        <f t="shared" si="3"/>
        <v>-6.7411533888228279</v>
      </c>
      <c r="J49">
        <f t="shared" si="4"/>
        <v>-3.1420630202140281</v>
      </c>
      <c r="K49">
        <f t="shared" si="5"/>
        <v>0.69453032104637302</v>
      </c>
      <c r="L49">
        <f t="shared" si="6"/>
        <v>-3.8354838246750553</v>
      </c>
      <c r="M49">
        <v>191986</v>
      </c>
      <c r="N49">
        <v>3.4285709999999998</v>
      </c>
      <c r="O49">
        <v>3.2727270000000002</v>
      </c>
      <c r="P49">
        <v>2.4444439999999998</v>
      </c>
      <c r="Q49">
        <v>2.5</v>
      </c>
      <c r="R49">
        <v>6.5714290000000002</v>
      </c>
      <c r="S49">
        <v>4.8333329999999997</v>
      </c>
      <c r="T49" t="s">
        <v>131</v>
      </c>
      <c r="U49" t="s">
        <v>134</v>
      </c>
      <c r="V49">
        <v>3.33</v>
      </c>
      <c r="W49">
        <v>2.7</v>
      </c>
      <c r="X49">
        <v>2</v>
      </c>
      <c r="Y49">
        <v>6</v>
      </c>
      <c r="Z49">
        <v>0</v>
      </c>
      <c r="AA49">
        <v>5.83</v>
      </c>
      <c r="AB49">
        <v>5.33</v>
      </c>
      <c r="AC49">
        <v>6.63</v>
      </c>
      <c r="AD49">
        <v>4.83</v>
      </c>
      <c r="AE49">
        <v>5.77</v>
      </c>
      <c r="AF49">
        <v>18</v>
      </c>
      <c r="AG49">
        <v>4</v>
      </c>
      <c r="AH49">
        <v>10</v>
      </c>
      <c r="AI49">
        <v>1</v>
      </c>
      <c r="AJ49">
        <v>3</v>
      </c>
      <c r="AK49">
        <v>0</v>
      </c>
      <c r="AL49">
        <v>3</v>
      </c>
      <c r="AM49">
        <v>1</v>
      </c>
      <c r="AN49">
        <v>0</v>
      </c>
      <c r="AO49">
        <v>3</v>
      </c>
      <c r="AP49">
        <v>7</v>
      </c>
      <c r="AQ49">
        <v>26</v>
      </c>
      <c r="AR49">
        <v>12</v>
      </c>
      <c r="AS49">
        <v>4</v>
      </c>
      <c r="AT49">
        <v>0</v>
      </c>
      <c r="AU49">
        <v>6.75</v>
      </c>
      <c r="AV49">
        <v>7</v>
      </c>
      <c r="AW49">
        <v>6.25</v>
      </c>
      <c r="AX49">
        <v>7</v>
      </c>
      <c r="AZ49">
        <v>10</v>
      </c>
      <c r="BA49">
        <v>4.25</v>
      </c>
      <c r="BC49">
        <v>3</v>
      </c>
      <c r="BD49">
        <v>9999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20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8991</v>
      </c>
      <c r="BY49">
        <v>0</v>
      </c>
      <c r="BZ49">
        <v>0</v>
      </c>
      <c r="CA49">
        <v>0</v>
      </c>
      <c r="CB49">
        <v>0</v>
      </c>
      <c r="CC49">
        <v>4</v>
      </c>
      <c r="CD49">
        <v>4.4000000000000004</v>
      </c>
      <c r="CE49">
        <v>3</v>
      </c>
      <c r="CF49">
        <v>3.8</v>
      </c>
      <c r="CG49">
        <v>6</v>
      </c>
      <c r="CH49">
        <v>5.1666666666666998</v>
      </c>
      <c r="CI49">
        <v>6</v>
      </c>
      <c r="CJ49">
        <v>5.1666666666666998</v>
      </c>
      <c r="CK49">
        <v>1.05</v>
      </c>
      <c r="CL49">
        <v>0</v>
      </c>
      <c r="CM49">
        <v>0</v>
      </c>
      <c r="CN49">
        <v>29</v>
      </c>
      <c r="CO49">
        <v>23</v>
      </c>
      <c r="CP49">
        <v>12</v>
      </c>
      <c r="CQ49">
        <v>1</v>
      </c>
      <c r="CR49">
        <v>41</v>
      </c>
      <c r="CS49">
        <v>42</v>
      </c>
      <c r="CT49">
        <v>54</v>
      </c>
      <c r="CU49" s="1">
        <v>28</v>
      </c>
      <c r="CV49" s="1">
        <v>38</v>
      </c>
      <c r="CW49">
        <v>48</v>
      </c>
      <c r="CX49">
        <v>50</v>
      </c>
      <c r="CY49">
        <v>48</v>
      </c>
      <c r="CZ49">
        <v>55</v>
      </c>
      <c r="DA49">
        <v>48</v>
      </c>
      <c r="DB49">
        <v>60</v>
      </c>
      <c r="DC49">
        <v>0</v>
      </c>
      <c r="DD49">
        <v>0</v>
      </c>
      <c r="DE49">
        <v>4</v>
      </c>
      <c r="DF49">
        <v>1</v>
      </c>
      <c r="DG49">
        <v>45118</v>
      </c>
      <c r="DH49">
        <v>31426</v>
      </c>
      <c r="DI49">
        <v>37.49</v>
      </c>
      <c r="DJ49">
        <v>4</v>
      </c>
      <c r="DK49">
        <v>0</v>
      </c>
      <c r="DL49">
        <v>10</v>
      </c>
      <c r="DM49">
        <v>3</v>
      </c>
      <c r="DN49">
        <v>1</v>
      </c>
      <c r="DO49">
        <v>8</v>
      </c>
      <c r="DP49">
        <v>0</v>
      </c>
      <c r="DQ49">
        <v>3.4375</v>
      </c>
      <c r="DR49">
        <v>12</v>
      </c>
      <c r="DS49">
        <v>5</v>
      </c>
      <c r="DT49">
        <v>10</v>
      </c>
      <c r="DU49">
        <v>2</v>
      </c>
      <c r="DV49">
        <v>15</v>
      </c>
      <c r="DW49">
        <v>11</v>
      </c>
      <c r="DY49">
        <v>5</v>
      </c>
      <c r="DZ49">
        <v>1</v>
      </c>
      <c r="EA49">
        <v>7</v>
      </c>
      <c r="EB49">
        <v>5</v>
      </c>
      <c r="EC49" t="s">
        <v>133</v>
      </c>
      <c r="ED49" t="s">
        <v>133</v>
      </c>
      <c r="EE49" t="s">
        <v>133</v>
      </c>
      <c r="EF49">
        <v>1</v>
      </c>
      <c r="EG49">
        <v>19009</v>
      </c>
      <c r="EH49">
        <v>7</v>
      </c>
      <c r="EI49">
        <v>0</v>
      </c>
      <c r="EJ49" t="s">
        <v>133</v>
      </c>
      <c r="EK49" t="s">
        <v>133</v>
      </c>
      <c r="EL49" t="s">
        <v>133</v>
      </c>
      <c r="EM49">
        <v>13</v>
      </c>
      <c r="EN49">
        <v>18</v>
      </c>
      <c r="EO49">
        <v>16</v>
      </c>
      <c r="EP49">
        <v>14</v>
      </c>
      <c r="EQ49">
        <v>20</v>
      </c>
      <c r="ER49" t="s">
        <v>133</v>
      </c>
      <c r="ES49" t="s">
        <v>133</v>
      </c>
    </row>
    <row r="50" spans="1:149" x14ac:dyDescent="0.2">
      <c r="A50">
        <v>10783</v>
      </c>
      <c r="B50">
        <v>51.18</v>
      </c>
      <c r="C50">
        <f t="shared" si="0"/>
        <v>8.1275862068965523</v>
      </c>
      <c r="D50">
        <v>3.4</v>
      </c>
      <c r="E50">
        <f t="shared" si="1"/>
        <v>0.32068965517241388</v>
      </c>
      <c r="F50">
        <v>0</v>
      </c>
      <c r="G50">
        <f t="shared" si="2"/>
        <v>-7.431034482758621</v>
      </c>
      <c r="H50">
        <v>5.6666666666666599</v>
      </c>
      <c r="I50">
        <f t="shared" si="3"/>
        <v>2.6064328180737228</v>
      </c>
      <c r="J50">
        <f t="shared" si="4"/>
        <v>-60.396373365041626</v>
      </c>
      <c r="K50">
        <f t="shared" si="5"/>
        <v>-2.3830558858501791</v>
      </c>
      <c r="L50">
        <f t="shared" si="6"/>
        <v>-19.368492148099563</v>
      </c>
      <c r="M50">
        <v>120472</v>
      </c>
      <c r="N50">
        <v>2.8888889999999998</v>
      </c>
      <c r="O50">
        <v>2</v>
      </c>
      <c r="P50">
        <v>2.75</v>
      </c>
      <c r="Q50">
        <v>2.4444439999999998</v>
      </c>
      <c r="R50">
        <v>5.0769229999999999</v>
      </c>
      <c r="S50">
        <v>3.0909089999999999</v>
      </c>
      <c r="T50" t="s">
        <v>135</v>
      </c>
      <c r="U50" t="s">
        <v>132</v>
      </c>
      <c r="V50">
        <v>4.33</v>
      </c>
      <c r="W50">
        <v>3.7</v>
      </c>
      <c r="X50">
        <v>2</v>
      </c>
      <c r="Y50">
        <v>0</v>
      </c>
      <c r="Z50">
        <v>0</v>
      </c>
      <c r="AA50">
        <v>6</v>
      </c>
      <c r="AB50">
        <v>5.67</v>
      </c>
      <c r="AC50">
        <v>6.25</v>
      </c>
      <c r="AD50">
        <v>6</v>
      </c>
      <c r="AE50">
        <v>5.93</v>
      </c>
      <c r="AF50">
        <v>8</v>
      </c>
      <c r="AG50">
        <v>2</v>
      </c>
      <c r="AH50">
        <v>4</v>
      </c>
      <c r="AI50">
        <v>2</v>
      </c>
      <c r="AJ50">
        <v>0</v>
      </c>
      <c r="AK50">
        <v>0</v>
      </c>
      <c r="AL50">
        <v>4</v>
      </c>
      <c r="AM50">
        <v>8</v>
      </c>
      <c r="AN50">
        <v>0</v>
      </c>
      <c r="AO50">
        <v>3</v>
      </c>
      <c r="AP50">
        <v>15</v>
      </c>
      <c r="AQ50">
        <v>44</v>
      </c>
      <c r="AR50">
        <v>11</v>
      </c>
      <c r="AS50">
        <v>1</v>
      </c>
      <c r="AT50">
        <v>1</v>
      </c>
      <c r="AU50">
        <v>7</v>
      </c>
      <c r="AV50">
        <v>7</v>
      </c>
      <c r="AW50">
        <v>7</v>
      </c>
      <c r="AX50">
        <v>7</v>
      </c>
      <c r="AZ50">
        <v>11</v>
      </c>
      <c r="BA50">
        <v>2.08</v>
      </c>
      <c r="BC50">
        <v>3.17</v>
      </c>
      <c r="BD50">
        <v>9999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20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8991</v>
      </c>
      <c r="BY50">
        <v>0</v>
      </c>
      <c r="BZ50">
        <v>0</v>
      </c>
      <c r="CA50">
        <v>0</v>
      </c>
      <c r="CB50">
        <v>0</v>
      </c>
      <c r="CC50">
        <v>3.6</v>
      </c>
      <c r="CD50">
        <v>3.7</v>
      </c>
      <c r="CE50">
        <v>3.5</v>
      </c>
      <c r="CF50">
        <v>3.6</v>
      </c>
      <c r="CG50">
        <v>4.5</v>
      </c>
      <c r="CH50">
        <v>4.6666666666666998</v>
      </c>
      <c r="CI50">
        <v>5.1666666666666998</v>
      </c>
      <c r="CJ50">
        <v>4.8333333333333002</v>
      </c>
      <c r="CK50">
        <v>0.1</v>
      </c>
      <c r="CL50">
        <v>0</v>
      </c>
      <c r="CM50">
        <v>0</v>
      </c>
      <c r="CN50">
        <v>24</v>
      </c>
      <c r="CO50">
        <v>22</v>
      </c>
      <c r="CP50">
        <v>8</v>
      </c>
      <c r="CQ50">
        <v>0.88888888888888995</v>
      </c>
      <c r="CR50">
        <v>32</v>
      </c>
      <c r="CS50">
        <v>42</v>
      </c>
      <c r="CT50">
        <v>50</v>
      </c>
      <c r="CU50" s="1">
        <v>24</v>
      </c>
      <c r="CV50" s="1">
        <v>30</v>
      </c>
      <c r="CW50">
        <v>48</v>
      </c>
      <c r="CX50">
        <v>48</v>
      </c>
      <c r="CY50">
        <v>48</v>
      </c>
      <c r="CZ50">
        <v>49</v>
      </c>
      <c r="DA50">
        <v>45</v>
      </c>
      <c r="DB50">
        <v>60</v>
      </c>
      <c r="DC50">
        <v>0</v>
      </c>
      <c r="DD50">
        <v>0</v>
      </c>
      <c r="DE50">
        <v>2</v>
      </c>
      <c r="DF50">
        <v>3</v>
      </c>
      <c r="DG50">
        <v>45120</v>
      </c>
      <c r="DH50">
        <v>26436</v>
      </c>
      <c r="DI50">
        <v>51.16</v>
      </c>
      <c r="DJ50">
        <v>3</v>
      </c>
      <c r="DK50">
        <v>1</v>
      </c>
      <c r="DL50">
        <v>1</v>
      </c>
      <c r="DM50">
        <v>0</v>
      </c>
      <c r="DN50">
        <v>4</v>
      </c>
      <c r="DO50">
        <v>10</v>
      </c>
      <c r="DP50">
        <v>12</v>
      </c>
      <c r="DQ50">
        <v>3.5</v>
      </c>
      <c r="DR50">
        <v>12</v>
      </c>
      <c r="DS50">
        <v>5</v>
      </c>
      <c r="DT50">
        <v>9</v>
      </c>
      <c r="DU50">
        <v>0</v>
      </c>
      <c r="DV50">
        <v>18</v>
      </c>
      <c r="DW50">
        <v>12</v>
      </c>
      <c r="DY50">
        <v>5</v>
      </c>
      <c r="DZ50">
        <v>1</v>
      </c>
      <c r="EA50">
        <v>6</v>
      </c>
      <c r="EB50">
        <v>5</v>
      </c>
      <c r="EC50" t="s">
        <v>133</v>
      </c>
      <c r="ED50" t="s">
        <v>133</v>
      </c>
      <c r="EE50" t="s">
        <v>133</v>
      </c>
      <c r="EF50">
        <v>2</v>
      </c>
      <c r="EG50">
        <v>19038</v>
      </c>
      <c r="EH50">
        <v>6</v>
      </c>
      <c r="EI50">
        <v>0</v>
      </c>
      <c r="EJ50" t="s">
        <v>133</v>
      </c>
      <c r="EK50" t="s">
        <v>133</v>
      </c>
      <c r="EL50" t="s">
        <v>133</v>
      </c>
      <c r="EM50">
        <v>15</v>
      </c>
      <c r="EN50">
        <v>15</v>
      </c>
      <c r="EO50">
        <v>19</v>
      </c>
      <c r="EP50">
        <v>16</v>
      </c>
      <c r="EQ50">
        <v>17</v>
      </c>
      <c r="ER50" t="s">
        <v>133</v>
      </c>
      <c r="ES50" t="s">
        <v>133</v>
      </c>
    </row>
    <row r="51" spans="1:149" x14ac:dyDescent="0.2">
      <c r="A51">
        <v>10785</v>
      </c>
      <c r="B51">
        <v>61.23</v>
      </c>
      <c r="C51">
        <f t="shared" si="0"/>
        <v>18.177586206896549</v>
      </c>
      <c r="D51">
        <v>2.9</v>
      </c>
      <c r="E51">
        <f t="shared" si="1"/>
        <v>-0.17931034482758612</v>
      </c>
      <c r="F51">
        <v>8</v>
      </c>
      <c r="G51">
        <f t="shared" si="2"/>
        <v>0.568965517241379</v>
      </c>
      <c r="H51">
        <v>2.75</v>
      </c>
      <c r="I51">
        <f t="shared" si="3"/>
        <v>-3.2594292508917935</v>
      </c>
      <c r="J51">
        <f t="shared" si="4"/>
        <v>10.342419738406653</v>
      </c>
      <c r="K51">
        <f t="shared" si="5"/>
        <v>-0.10202140309155756</v>
      </c>
      <c r="L51">
        <f t="shared" si="6"/>
        <v>-1.8545028496453297</v>
      </c>
      <c r="M51">
        <v>201162</v>
      </c>
      <c r="N51">
        <v>2.8333330000000001</v>
      </c>
      <c r="O51">
        <v>3.0909089999999999</v>
      </c>
      <c r="P51">
        <v>2.545455</v>
      </c>
      <c r="Q51">
        <v>3.6363639999999999</v>
      </c>
      <c r="R51">
        <v>3.6666669999999999</v>
      </c>
      <c r="S51">
        <v>2.461538</v>
      </c>
      <c r="T51" t="s">
        <v>131</v>
      </c>
      <c r="U51" t="s">
        <v>132</v>
      </c>
      <c r="V51">
        <v>4</v>
      </c>
      <c r="W51">
        <v>3.8</v>
      </c>
      <c r="X51">
        <v>1</v>
      </c>
      <c r="Y51">
        <v>1</v>
      </c>
      <c r="Z51">
        <v>0</v>
      </c>
      <c r="AA51">
        <v>6.67</v>
      </c>
      <c r="AB51">
        <v>6.17</v>
      </c>
      <c r="AC51">
        <v>6.63</v>
      </c>
      <c r="AD51">
        <v>5.5</v>
      </c>
      <c r="AE51">
        <v>6.23</v>
      </c>
      <c r="AF51">
        <v>6</v>
      </c>
      <c r="AG51">
        <v>1</v>
      </c>
      <c r="AH51">
        <v>5</v>
      </c>
      <c r="AI51">
        <v>0</v>
      </c>
      <c r="AJ51">
        <v>0</v>
      </c>
      <c r="AK51">
        <v>1</v>
      </c>
      <c r="AL51">
        <v>1</v>
      </c>
      <c r="AM51">
        <v>4</v>
      </c>
      <c r="AN51">
        <v>1</v>
      </c>
      <c r="AO51">
        <v>0</v>
      </c>
      <c r="AP51">
        <v>7</v>
      </c>
      <c r="AQ51">
        <v>39</v>
      </c>
      <c r="AR51">
        <v>9</v>
      </c>
      <c r="AS51">
        <v>0</v>
      </c>
      <c r="AT51">
        <v>0</v>
      </c>
      <c r="AU51">
        <v>5.75</v>
      </c>
      <c r="AV51">
        <v>7</v>
      </c>
      <c r="AW51">
        <v>4.25</v>
      </c>
      <c r="AX51">
        <v>6</v>
      </c>
      <c r="AZ51">
        <v>12</v>
      </c>
      <c r="BA51">
        <v>1.92</v>
      </c>
      <c r="BC51">
        <v>2.83</v>
      </c>
      <c r="BD51">
        <v>9999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20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8991</v>
      </c>
      <c r="BY51">
        <v>0</v>
      </c>
      <c r="BZ51">
        <v>0</v>
      </c>
      <c r="CA51">
        <v>0</v>
      </c>
      <c r="CB51">
        <v>0</v>
      </c>
      <c r="CC51">
        <v>4.0999999999999996</v>
      </c>
      <c r="CD51">
        <v>4.3</v>
      </c>
      <c r="CE51">
        <v>4.2</v>
      </c>
      <c r="CF51">
        <v>4.2</v>
      </c>
      <c r="CG51">
        <v>6</v>
      </c>
      <c r="CH51">
        <v>2.6666666666666998</v>
      </c>
      <c r="CI51">
        <v>2.6666666666666998</v>
      </c>
      <c r="CJ51">
        <v>3.8333333333333002</v>
      </c>
      <c r="CK51">
        <v>0.4</v>
      </c>
      <c r="CL51">
        <v>0</v>
      </c>
      <c r="CM51">
        <v>0</v>
      </c>
      <c r="CN51">
        <v>25</v>
      </c>
      <c r="CO51">
        <v>22</v>
      </c>
      <c r="CP51">
        <v>10</v>
      </c>
      <c r="CQ51">
        <v>0.90909090909090995</v>
      </c>
      <c r="CR51">
        <v>33</v>
      </c>
      <c r="CS51">
        <v>31</v>
      </c>
      <c r="CT51">
        <v>55</v>
      </c>
      <c r="CU51" s="1">
        <v>30</v>
      </c>
      <c r="CV51" s="1">
        <v>29</v>
      </c>
      <c r="CW51">
        <v>45</v>
      </c>
      <c r="CX51">
        <v>60</v>
      </c>
      <c r="CY51">
        <v>43</v>
      </c>
      <c r="CZ51">
        <v>60</v>
      </c>
      <c r="DA51">
        <v>33</v>
      </c>
      <c r="DB51">
        <v>60</v>
      </c>
      <c r="DC51">
        <v>2</v>
      </c>
      <c r="DD51">
        <v>2</v>
      </c>
      <c r="DE51">
        <v>6</v>
      </c>
      <c r="DF51">
        <v>1</v>
      </c>
      <c r="DG51">
        <v>45121</v>
      </c>
      <c r="DH51">
        <v>22841</v>
      </c>
      <c r="DI51">
        <v>61</v>
      </c>
      <c r="DJ51">
        <v>4</v>
      </c>
      <c r="DK51">
        <v>1</v>
      </c>
      <c r="DL51">
        <v>0</v>
      </c>
      <c r="DM51">
        <v>0</v>
      </c>
      <c r="DN51">
        <v>2</v>
      </c>
      <c r="DO51">
        <v>13</v>
      </c>
      <c r="DP51">
        <v>27</v>
      </c>
      <c r="DQ51">
        <v>2.6875</v>
      </c>
      <c r="DR51">
        <v>12</v>
      </c>
      <c r="DS51">
        <v>2</v>
      </c>
      <c r="DT51">
        <v>6</v>
      </c>
      <c r="DU51">
        <v>2</v>
      </c>
      <c r="DV51">
        <v>11</v>
      </c>
      <c r="DW51">
        <v>10</v>
      </c>
      <c r="DY51">
        <v>5</v>
      </c>
      <c r="DZ51">
        <v>1</v>
      </c>
      <c r="EA51">
        <v>5</v>
      </c>
      <c r="EB51">
        <v>5</v>
      </c>
      <c r="EC51" t="s">
        <v>133</v>
      </c>
      <c r="ED51" t="s">
        <v>133</v>
      </c>
      <c r="EE51" t="s">
        <v>133</v>
      </c>
      <c r="EF51">
        <v>1</v>
      </c>
      <c r="EG51">
        <v>16125</v>
      </c>
      <c r="EH51">
        <v>5</v>
      </c>
      <c r="EI51">
        <v>1</v>
      </c>
      <c r="EJ51" t="s">
        <v>133</v>
      </c>
      <c r="EK51" t="s">
        <v>133</v>
      </c>
      <c r="EL51" t="s">
        <v>133</v>
      </c>
      <c r="EM51">
        <v>18</v>
      </c>
      <c r="EN51">
        <v>11</v>
      </c>
      <c r="EO51">
        <v>14</v>
      </c>
      <c r="EP51">
        <v>17</v>
      </c>
      <c r="EQ51">
        <v>15</v>
      </c>
      <c r="ER51">
        <v>0</v>
      </c>
      <c r="ES51" t="s">
        <v>133</v>
      </c>
    </row>
    <row r="52" spans="1:149" x14ac:dyDescent="0.2">
      <c r="A52">
        <v>10794</v>
      </c>
      <c r="B52">
        <v>39.69</v>
      </c>
      <c r="C52">
        <f t="shared" si="0"/>
        <v>-3.3624137931034497</v>
      </c>
      <c r="D52">
        <v>3</v>
      </c>
      <c r="E52">
        <f t="shared" si="1"/>
        <v>-7.9310344827586032E-2</v>
      </c>
      <c r="F52">
        <v>23</v>
      </c>
      <c r="G52">
        <f t="shared" si="2"/>
        <v>15.568965517241379</v>
      </c>
      <c r="H52">
        <v>4.6666666666666599</v>
      </c>
      <c r="I52">
        <f t="shared" si="3"/>
        <v>0.26667419738406611</v>
      </c>
      <c r="J52">
        <f t="shared" si="4"/>
        <v>-52.349304399524399</v>
      </c>
      <c r="K52">
        <f t="shared" si="5"/>
        <v>-1.2347800237812101</v>
      </c>
      <c r="L52">
        <f t="shared" si="6"/>
        <v>4.1518413834105461</v>
      </c>
      <c r="M52">
        <v>200884</v>
      </c>
      <c r="N52">
        <v>3.230769</v>
      </c>
      <c r="O52">
        <v>3.3333330000000001</v>
      </c>
      <c r="P52">
        <v>2.769231</v>
      </c>
      <c r="Q52">
        <v>3.0909089999999999</v>
      </c>
      <c r="R52">
        <v>4.3076920000000003</v>
      </c>
      <c r="S52">
        <v>4.1538459999999997</v>
      </c>
      <c r="T52" t="s">
        <v>135</v>
      </c>
      <c r="U52" t="s">
        <v>134</v>
      </c>
      <c r="V52">
        <v>4.8899999999999997</v>
      </c>
      <c r="W52">
        <v>2.6</v>
      </c>
      <c r="X52">
        <v>2</v>
      </c>
      <c r="Y52">
        <v>6</v>
      </c>
      <c r="Z52">
        <v>0</v>
      </c>
      <c r="AA52">
        <v>6.17</v>
      </c>
      <c r="AB52">
        <v>5.5</v>
      </c>
      <c r="AC52">
        <v>6.13</v>
      </c>
      <c r="AD52">
        <v>4.67</v>
      </c>
      <c r="AE52">
        <v>5.73</v>
      </c>
      <c r="AF52">
        <v>10</v>
      </c>
      <c r="AG52">
        <v>0</v>
      </c>
      <c r="AH52">
        <v>4</v>
      </c>
      <c r="AI52">
        <v>3</v>
      </c>
      <c r="AJ52">
        <v>3</v>
      </c>
      <c r="AK52">
        <v>1</v>
      </c>
      <c r="AL52">
        <v>0</v>
      </c>
      <c r="AM52">
        <v>3</v>
      </c>
      <c r="AN52">
        <v>1</v>
      </c>
      <c r="AO52">
        <v>0</v>
      </c>
      <c r="AP52">
        <v>5</v>
      </c>
      <c r="AQ52">
        <v>16</v>
      </c>
      <c r="AR52">
        <v>10</v>
      </c>
      <c r="AS52">
        <v>0</v>
      </c>
      <c r="AT52">
        <v>0</v>
      </c>
      <c r="AU52">
        <v>5.5</v>
      </c>
      <c r="AV52">
        <v>5.5</v>
      </c>
      <c r="AW52">
        <v>5.5</v>
      </c>
      <c r="AX52">
        <v>5.5</v>
      </c>
      <c r="AZ52">
        <v>9</v>
      </c>
      <c r="BA52">
        <v>2.58</v>
      </c>
      <c r="BC52">
        <v>2.5</v>
      </c>
      <c r="BD52">
        <v>9999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20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8991</v>
      </c>
      <c r="BY52">
        <v>0</v>
      </c>
      <c r="BZ52">
        <v>0</v>
      </c>
      <c r="CA52">
        <v>0</v>
      </c>
      <c r="CB52">
        <v>0</v>
      </c>
      <c r="CC52">
        <v>3.9</v>
      </c>
      <c r="CD52">
        <v>3.9</v>
      </c>
      <c r="CE52">
        <v>3.5</v>
      </c>
      <c r="CF52">
        <v>3.77</v>
      </c>
      <c r="CG52">
        <v>4.3333333333333304</v>
      </c>
      <c r="CH52">
        <v>3.5</v>
      </c>
      <c r="CI52">
        <v>6</v>
      </c>
      <c r="CJ52">
        <v>6</v>
      </c>
      <c r="CK52">
        <v>1.6</v>
      </c>
      <c r="CL52">
        <v>0</v>
      </c>
      <c r="CM52">
        <v>0</v>
      </c>
      <c r="CN52">
        <v>25</v>
      </c>
      <c r="CO52">
        <v>23</v>
      </c>
      <c r="CP52">
        <v>9</v>
      </c>
      <c r="CQ52">
        <v>0.9</v>
      </c>
      <c r="CR52">
        <v>34</v>
      </c>
      <c r="CS52">
        <v>24</v>
      </c>
      <c r="CT52">
        <v>38</v>
      </c>
      <c r="CU52" s="1">
        <v>18</v>
      </c>
      <c r="CV52" s="1">
        <v>30</v>
      </c>
      <c r="CW52">
        <v>31</v>
      </c>
      <c r="CX52">
        <v>60</v>
      </c>
      <c r="CY52">
        <v>31</v>
      </c>
      <c r="CZ52">
        <v>60</v>
      </c>
      <c r="DA52">
        <v>21</v>
      </c>
      <c r="DB52">
        <v>60</v>
      </c>
      <c r="DC52">
        <v>2</v>
      </c>
      <c r="DD52">
        <v>2</v>
      </c>
      <c r="DE52">
        <v>4</v>
      </c>
      <c r="DF52">
        <v>2</v>
      </c>
      <c r="DG52">
        <v>45124</v>
      </c>
      <c r="DH52">
        <v>30707</v>
      </c>
      <c r="DI52">
        <v>39.47</v>
      </c>
      <c r="DJ52">
        <v>3</v>
      </c>
      <c r="DK52">
        <v>0</v>
      </c>
      <c r="DL52">
        <v>0</v>
      </c>
      <c r="DM52">
        <v>0</v>
      </c>
      <c r="DN52">
        <v>2</v>
      </c>
      <c r="DO52">
        <v>12</v>
      </c>
      <c r="DP52">
        <v>0</v>
      </c>
      <c r="DQ52">
        <v>3.5625</v>
      </c>
      <c r="DR52">
        <v>10</v>
      </c>
      <c r="DS52">
        <v>6</v>
      </c>
      <c r="DT52">
        <v>12</v>
      </c>
      <c r="DU52">
        <v>2</v>
      </c>
      <c r="DV52">
        <v>15</v>
      </c>
      <c r="DW52">
        <v>12</v>
      </c>
      <c r="DY52">
        <v>5</v>
      </c>
      <c r="DZ52">
        <v>1</v>
      </c>
      <c r="EA52">
        <v>2</v>
      </c>
      <c r="EB52">
        <v>5</v>
      </c>
      <c r="EC52" t="s">
        <v>133</v>
      </c>
      <c r="ED52" t="s">
        <v>133</v>
      </c>
      <c r="EE52" t="s">
        <v>133</v>
      </c>
      <c r="EF52">
        <v>0</v>
      </c>
      <c r="EG52">
        <v>19131</v>
      </c>
      <c r="EH52">
        <v>2</v>
      </c>
      <c r="EI52">
        <v>1</v>
      </c>
      <c r="EJ52" t="s">
        <v>133</v>
      </c>
      <c r="EK52" t="s">
        <v>133</v>
      </c>
      <c r="EL52" t="s">
        <v>133</v>
      </c>
      <c r="EM52">
        <v>14</v>
      </c>
      <c r="EN52">
        <v>14</v>
      </c>
      <c r="EO52">
        <v>15</v>
      </c>
      <c r="EP52">
        <v>20</v>
      </c>
      <c r="EQ52">
        <v>18</v>
      </c>
      <c r="ER52" t="s">
        <v>133</v>
      </c>
      <c r="ES52" t="s">
        <v>133</v>
      </c>
    </row>
    <row r="53" spans="1:149" x14ac:dyDescent="0.2">
      <c r="A53">
        <v>10800</v>
      </c>
      <c r="B53">
        <v>26.85</v>
      </c>
      <c r="C53">
        <f t="shared" si="0"/>
        <v>-16.202413793103446</v>
      </c>
      <c r="D53">
        <v>3.5</v>
      </c>
      <c r="E53">
        <f t="shared" si="1"/>
        <v>0.42068965517241397</v>
      </c>
      <c r="F53">
        <v>26</v>
      </c>
      <c r="G53">
        <f t="shared" si="2"/>
        <v>18.568965517241381</v>
      </c>
      <c r="H53">
        <v>5.9166666666666599</v>
      </c>
      <c r="I53">
        <f t="shared" si="3"/>
        <v>-6.8161878715814526</v>
      </c>
      <c r="J53">
        <f t="shared" si="4"/>
        <v>-300.86206302021401</v>
      </c>
      <c r="K53">
        <f t="shared" si="5"/>
        <v>7.8117717003567222</v>
      </c>
      <c r="L53">
        <f t="shared" si="6"/>
        <v>-126.56955754643491</v>
      </c>
      <c r="M53">
        <v>52296</v>
      </c>
      <c r="N53">
        <v>5.5714290000000002</v>
      </c>
      <c r="O53">
        <v>6</v>
      </c>
      <c r="P53">
        <v>4.5999999999999996</v>
      </c>
      <c r="Q53">
        <v>6.3076920000000003</v>
      </c>
      <c r="R53">
        <v>5</v>
      </c>
      <c r="S53">
        <v>5.0769229999999999</v>
      </c>
      <c r="T53" t="s">
        <v>137</v>
      </c>
      <c r="U53" t="s">
        <v>132</v>
      </c>
      <c r="V53">
        <v>5</v>
      </c>
      <c r="W53">
        <v>3.8</v>
      </c>
      <c r="X53">
        <v>6</v>
      </c>
      <c r="Y53">
        <v>5</v>
      </c>
      <c r="Z53">
        <v>0</v>
      </c>
      <c r="AA53">
        <v>6.5</v>
      </c>
      <c r="AB53">
        <v>5</v>
      </c>
      <c r="AC53">
        <v>6.63</v>
      </c>
      <c r="AD53">
        <v>4.83</v>
      </c>
      <c r="AE53">
        <v>5.7</v>
      </c>
      <c r="AF53">
        <v>39</v>
      </c>
      <c r="AG53">
        <v>9</v>
      </c>
      <c r="AH53">
        <v>14</v>
      </c>
      <c r="AI53">
        <v>5</v>
      </c>
      <c r="AJ53">
        <v>11</v>
      </c>
      <c r="AK53">
        <v>5</v>
      </c>
      <c r="AL53">
        <v>6</v>
      </c>
      <c r="AM53">
        <v>4</v>
      </c>
      <c r="AN53">
        <v>5</v>
      </c>
      <c r="AO53">
        <v>3</v>
      </c>
      <c r="AP53">
        <v>23</v>
      </c>
      <c r="AQ53">
        <v>34</v>
      </c>
      <c r="AR53">
        <v>11</v>
      </c>
      <c r="AS53">
        <v>0</v>
      </c>
      <c r="AT53">
        <v>0</v>
      </c>
      <c r="AU53">
        <v>6</v>
      </c>
      <c r="AV53">
        <v>7</v>
      </c>
      <c r="AW53">
        <v>6.5</v>
      </c>
      <c r="AX53">
        <v>4.5</v>
      </c>
      <c r="AZ53">
        <v>19</v>
      </c>
      <c r="BA53">
        <v>4.5</v>
      </c>
      <c r="BC53">
        <v>3</v>
      </c>
      <c r="BD53">
        <v>9999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20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8991</v>
      </c>
      <c r="BY53">
        <v>0</v>
      </c>
      <c r="BZ53">
        <v>0</v>
      </c>
      <c r="CA53">
        <v>0</v>
      </c>
      <c r="CB53">
        <v>0</v>
      </c>
      <c r="CC53">
        <v>3.6</v>
      </c>
      <c r="CD53">
        <v>4.7</v>
      </c>
      <c r="CE53">
        <v>4.5</v>
      </c>
      <c r="CF53">
        <v>4.2699999999999996</v>
      </c>
      <c r="CG53">
        <v>5.8333333333333002</v>
      </c>
      <c r="CH53">
        <v>5.1666666666666998</v>
      </c>
      <c r="CI53">
        <v>6</v>
      </c>
      <c r="CJ53">
        <v>5.1666666666666998</v>
      </c>
      <c r="CK53">
        <v>0.9</v>
      </c>
      <c r="CL53">
        <v>0</v>
      </c>
      <c r="CM53">
        <v>0</v>
      </c>
      <c r="CN53">
        <v>30</v>
      </c>
      <c r="CO53">
        <v>20</v>
      </c>
      <c r="CP53">
        <v>10</v>
      </c>
      <c r="CQ53">
        <v>0.83333333333333004</v>
      </c>
      <c r="CR53">
        <v>40</v>
      </c>
      <c r="CS53">
        <v>33</v>
      </c>
      <c r="CT53">
        <v>38</v>
      </c>
      <c r="CU53" s="1">
        <v>23</v>
      </c>
      <c r="CV53" s="1">
        <v>34</v>
      </c>
      <c r="CW53">
        <v>41</v>
      </c>
      <c r="CX53">
        <v>60</v>
      </c>
      <c r="CY53">
        <v>30</v>
      </c>
      <c r="CZ53">
        <v>60</v>
      </c>
      <c r="DA53">
        <v>29</v>
      </c>
      <c r="DB53">
        <v>60</v>
      </c>
      <c r="DC53">
        <v>0</v>
      </c>
      <c r="DD53">
        <v>0</v>
      </c>
      <c r="DE53">
        <v>4</v>
      </c>
      <c r="DF53">
        <v>3</v>
      </c>
      <c r="DG53">
        <v>45125</v>
      </c>
      <c r="DH53">
        <v>35345</v>
      </c>
      <c r="DI53">
        <v>26.78</v>
      </c>
      <c r="DJ53">
        <v>5</v>
      </c>
      <c r="DK53">
        <v>1</v>
      </c>
      <c r="DL53">
        <v>1</v>
      </c>
      <c r="DM53">
        <v>0</v>
      </c>
      <c r="DN53">
        <v>1</v>
      </c>
      <c r="DO53">
        <v>6</v>
      </c>
      <c r="DP53">
        <v>0</v>
      </c>
      <c r="DQ53">
        <v>3.875</v>
      </c>
      <c r="DR53">
        <v>10</v>
      </c>
      <c r="DS53">
        <v>11</v>
      </c>
      <c r="DT53">
        <v>10</v>
      </c>
      <c r="DU53">
        <v>4</v>
      </c>
      <c r="DV53">
        <v>15</v>
      </c>
      <c r="DW53">
        <v>12</v>
      </c>
      <c r="DY53">
        <v>4</v>
      </c>
      <c r="DZ53">
        <v>1</v>
      </c>
      <c r="EA53">
        <v>4</v>
      </c>
      <c r="EB53">
        <v>4</v>
      </c>
      <c r="EC53" t="s">
        <v>133</v>
      </c>
      <c r="ED53" t="s">
        <v>133</v>
      </c>
      <c r="EE53" t="s">
        <v>133</v>
      </c>
      <c r="EF53" t="s">
        <v>133</v>
      </c>
      <c r="EG53">
        <v>13350</v>
      </c>
      <c r="EH53">
        <v>4</v>
      </c>
      <c r="EI53">
        <v>0</v>
      </c>
      <c r="EJ53" t="s">
        <v>133</v>
      </c>
      <c r="EK53" t="s">
        <v>133</v>
      </c>
      <c r="EL53" t="s">
        <v>133</v>
      </c>
      <c r="EM53">
        <v>14</v>
      </c>
      <c r="EN53">
        <v>12</v>
      </c>
      <c r="EO53">
        <v>8</v>
      </c>
      <c r="EP53">
        <v>18</v>
      </c>
      <c r="EQ53">
        <v>12</v>
      </c>
      <c r="ER53" t="s">
        <v>133</v>
      </c>
      <c r="ES53" t="s">
        <v>133</v>
      </c>
    </row>
    <row r="54" spans="1:149" x14ac:dyDescent="0.2">
      <c r="A54">
        <v>10801</v>
      </c>
      <c r="B54">
        <v>34.53</v>
      </c>
      <c r="C54">
        <f t="shared" si="0"/>
        <v>-8.5224137931034463</v>
      </c>
      <c r="D54">
        <v>3.4</v>
      </c>
      <c r="E54">
        <f t="shared" si="1"/>
        <v>0.32068965517241388</v>
      </c>
      <c r="F54">
        <v>0</v>
      </c>
      <c r="G54">
        <f t="shared" si="2"/>
        <v>-7.431034482758621</v>
      </c>
      <c r="H54">
        <v>2.5833333333333299</v>
      </c>
      <c r="I54">
        <f t="shared" si="3"/>
        <v>-2.7330499405469681</v>
      </c>
      <c r="J54">
        <f t="shared" si="4"/>
        <v>63.330350772889403</v>
      </c>
      <c r="K54">
        <f t="shared" si="5"/>
        <v>-2.3830558858501791</v>
      </c>
      <c r="L54">
        <f t="shared" si="6"/>
        <v>20.30938835130592</v>
      </c>
      <c r="M54">
        <v>30889</v>
      </c>
      <c r="N54">
        <v>5.6666670000000003</v>
      </c>
      <c r="O54">
        <v>6</v>
      </c>
      <c r="P54">
        <v>5.8333329999999997</v>
      </c>
      <c r="Q54">
        <v>5.7142860000000004</v>
      </c>
      <c r="R54">
        <v>5.8571429999999998</v>
      </c>
      <c r="S54">
        <v>6.1538459999999997</v>
      </c>
      <c r="T54" t="s">
        <v>135</v>
      </c>
      <c r="U54" t="s">
        <v>132</v>
      </c>
      <c r="V54">
        <v>3.56</v>
      </c>
      <c r="W54">
        <v>2.4</v>
      </c>
      <c r="X54">
        <v>5</v>
      </c>
      <c r="Y54">
        <v>20</v>
      </c>
      <c r="Z54">
        <v>0</v>
      </c>
      <c r="AA54">
        <v>2</v>
      </c>
      <c r="AB54">
        <v>3.17</v>
      </c>
      <c r="AC54">
        <v>4.25</v>
      </c>
      <c r="AD54">
        <v>6</v>
      </c>
      <c r="AE54">
        <v>3.83</v>
      </c>
      <c r="AF54">
        <v>30</v>
      </c>
      <c r="AG54">
        <v>11</v>
      </c>
      <c r="AH54">
        <v>16</v>
      </c>
      <c r="AI54">
        <v>1</v>
      </c>
      <c r="AJ54">
        <v>2</v>
      </c>
      <c r="AK54">
        <v>1</v>
      </c>
      <c r="AL54">
        <v>3</v>
      </c>
      <c r="AM54">
        <v>2</v>
      </c>
      <c r="AN54">
        <v>3</v>
      </c>
      <c r="AO54">
        <v>6</v>
      </c>
      <c r="AP54">
        <v>15</v>
      </c>
      <c r="AQ54">
        <v>18</v>
      </c>
      <c r="AR54">
        <v>14</v>
      </c>
      <c r="AS54">
        <v>0</v>
      </c>
      <c r="AT54">
        <v>0</v>
      </c>
      <c r="AU54">
        <v>3.67</v>
      </c>
      <c r="AV54">
        <v>5.5</v>
      </c>
      <c r="AW54">
        <v>4.25</v>
      </c>
      <c r="AX54">
        <v>1.25</v>
      </c>
      <c r="AZ54">
        <v>11</v>
      </c>
      <c r="BA54">
        <v>1.92</v>
      </c>
      <c r="BC54">
        <v>2</v>
      </c>
      <c r="BD54">
        <v>9999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20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8991</v>
      </c>
      <c r="BY54">
        <v>0</v>
      </c>
      <c r="BZ54">
        <v>0</v>
      </c>
      <c r="CA54">
        <v>0</v>
      </c>
      <c r="CB54">
        <v>0</v>
      </c>
      <c r="CC54">
        <v>2.5</v>
      </c>
      <c r="CD54">
        <v>2.8</v>
      </c>
      <c r="CE54">
        <v>2.7</v>
      </c>
      <c r="CF54">
        <v>2.67</v>
      </c>
      <c r="CG54">
        <v>5.3333333333333002</v>
      </c>
      <c r="CH54">
        <v>3.5</v>
      </c>
      <c r="CI54">
        <v>4.3333333333333002</v>
      </c>
      <c r="CJ54">
        <v>4</v>
      </c>
      <c r="CK54">
        <v>3.05</v>
      </c>
      <c r="CL54">
        <v>0</v>
      </c>
      <c r="CM54">
        <v>0</v>
      </c>
      <c r="CN54">
        <v>15</v>
      </c>
      <c r="CO54">
        <v>22</v>
      </c>
      <c r="CP54">
        <v>7</v>
      </c>
      <c r="CQ54">
        <v>0.875</v>
      </c>
      <c r="CR54">
        <v>20</v>
      </c>
      <c r="CS54">
        <v>25</v>
      </c>
      <c r="CT54">
        <v>49</v>
      </c>
      <c r="CU54" s="1">
        <v>19</v>
      </c>
      <c r="CV54" s="1">
        <v>36</v>
      </c>
      <c r="CW54">
        <v>37</v>
      </c>
      <c r="CX54">
        <v>60</v>
      </c>
      <c r="CY54">
        <v>30</v>
      </c>
      <c r="CZ54">
        <v>60</v>
      </c>
      <c r="DA54">
        <v>29</v>
      </c>
      <c r="DB54">
        <v>60</v>
      </c>
      <c r="DC54">
        <v>4</v>
      </c>
      <c r="DD54">
        <v>4</v>
      </c>
      <c r="DE54">
        <v>6</v>
      </c>
      <c r="DF54">
        <v>1</v>
      </c>
      <c r="DG54">
        <v>45125</v>
      </c>
      <c r="DH54">
        <v>32535</v>
      </c>
      <c r="DI54">
        <v>34.47</v>
      </c>
      <c r="DJ54">
        <v>3</v>
      </c>
      <c r="DK54">
        <v>1</v>
      </c>
      <c r="DL54">
        <v>2</v>
      </c>
      <c r="DM54">
        <v>5</v>
      </c>
      <c r="DN54">
        <v>2</v>
      </c>
      <c r="DO54">
        <v>9</v>
      </c>
      <c r="DP54">
        <v>0</v>
      </c>
      <c r="DQ54">
        <v>3.125</v>
      </c>
      <c r="DR54">
        <v>9</v>
      </c>
      <c r="DS54">
        <v>1</v>
      </c>
      <c r="DT54">
        <v>9</v>
      </c>
      <c r="DU54">
        <v>7</v>
      </c>
      <c r="DV54">
        <v>16</v>
      </c>
      <c r="DW54">
        <v>8</v>
      </c>
      <c r="DY54">
        <v>5</v>
      </c>
      <c r="DZ54">
        <v>1</v>
      </c>
      <c r="EA54">
        <v>3</v>
      </c>
      <c r="EB54">
        <v>5</v>
      </c>
      <c r="EC54" t="s">
        <v>133</v>
      </c>
      <c r="ED54" t="s">
        <v>133</v>
      </c>
      <c r="EE54" t="s">
        <v>133</v>
      </c>
      <c r="EF54">
        <v>0</v>
      </c>
      <c r="EG54" t="s">
        <v>133</v>
      </c>
      <c r="EH54">
        <v>3</v>
      </c>
      <c r="EI54">
        <v>0</v>
      </c>
      <c r="EJ54" t="s">
        <v>133</v>
      </c>
      <c r="EK54" t="s">
        <v>133</v>
      </c>
      <c r="EL54" t="s">
        <v>133</v>
      </c>
      <c r="EM54">
        <v>9</v>
      </c>
      <c r="EN54">
        <v>13</v>
      </c>
      <c r="EO54">
        <v>12</v>
      </c>
      <c r="EP54">
        <v>19</v>
      </c>
      <c r="EQ54">
        <v>19</v>
      </c>
      <c r="ER54" t="s">
        <v>133</v>
      </c>
      <c r="ES54" t="s">
        <v>133</v>
      </c>
    </row>
    <row r="55" spans="1:149" x14ac:dyDescent="0.2">
      <c r="A55">
        <v>10802</v>
      </c>
      <c r="B55">
        <v>42.69</v>
      </c>
      <c r="C55">
        <f t="shared" si="0"/>
        <v>-0.36241379310344968</v>
      </c>
      <c r="D55">
        <v>3.2</v>
      </c>
      <c r="E55">
        <f t="shared" si="1"/>
        <v>0.12068965517241415</v>
      </c>
      <c r="F55">
        <v>14</v>
      </c>
      <c r="G55">
        <f t="shared" si="2"/>
        <v>6.568965517241379</v>
      </c>
      <c r="H55">
        <v>6.4166666666666599</v>
      </c>
      <c r="I55">
        <f t="shared" si="3"/>
        <v>-4.3739595719381984E-2</v>
      </c>
      <c r="J55">
        <f t="shared" si="4"/>
        <v>-2.3806837098692126</v>
      </c>
      <c r="K55">
        <f t="shared" si="5"/>
        <v>0.79280618311534112</v>
      </c>
      <c r="L55">
        <f t="shared" si="6"/>
        <v>-0.2873238960186989</v>
      </c>
      <c r="M55">
        <v>50380</v>
      </c>
      <c r="N55">
        <v>3.0769229999999999</v>
      </c>
      <c r="O55">
        <v>3.6363639999999999</v>
      </c>
      <c r="P55">
        <v>3.4285709999999998</v>
      </c>
      <c r="Q55">
        <v>3.1666669999999999</v>
      </c>
      <c r="R55">
        <v>4.9230770000000001</v>
      </c>
      <c r="S55">
        <v>4.4285709999999998</v>
      </c>
      <c r="T55" t="s">
        <v>131</v>
      </c>
      <c r="U55" t="s">
        <v>132</v>
      </c>
      <c r="V55">
        <v>4.1100000000000003</v>
      </c>
      <c r="W55">
        <v>4</v>
      </c>
      <c r="X55">
        <v>4</v>
      </c>
      <c r="Y55">
        <v>7</v>
      </c>
      <c r="Z55">
        <v>0</v>
      </c>
      <c r="AA55">
        <v>6.83</v>
      </c>
      <c r="AB55">
        <v>4.17</v>
      </c>
      <c r="AC55">
        <v>6.25</v>
      </c>
      <c r="AD55">
        <v>4.67</v>
      </c>
      <c r="AE55">
        <v>5.37</v>
      </c>
      <c r="AF55">
        <v>39</v>
      </c>
      <c r="AG55">
        <v>11</v>
      </c>
      <c r="AH55">
        <v>18</v>
      </c>
      <c r="AI55">
        <v>4</v>
      </c>
      <c r="AJ55">
        <v>6</v>
      </c>
      <c r="AK55">
        <v>2</v>
      </c>
      <c r="AL55">
        <v>6</v>
      </c>
      <c r="AM55">
        <v>3</v>
      </c>
      <c r="AN55">
        <v>2</v>
      </c>
      <c r="AO55">
        <v>2</v>
      </c>
      <c r="AP55">
        <v>15</v>
      </c>
      <c r="AQ55">
        <v>24</v>
      </c>
      <c r="AR55">
        <v>10</v>
      </c>
      <c r="AS55">
        <v>0</v>
      </c>
      <c r="AT55">
        <v>0</v>
      </c>
      <c r="AU55">
        <v>7</v>
      </c>
      <c r="AV55">
        <v>7</v>
      </c>
      <c r="AW55">
        <v>7</v>
      </c>
      <c r="AX55">
        <v>7</v>
      </c>
      <c r="AZ55">
        <v>13</v>
      </c>
      <c r="BA55">
        <v>3.75</v>
      </c>
      <c r="BC55">
        <v>2.67</v>
      </c>
      <c r="BD55">
        <v>9999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20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8991</v>
      </c>
      <c r="BY55">
        <v>0</v>
      </c>
      <c r="BZ55">
        <v>0</v>
      </c>
      <c r="CA55">
        <v>0</v>
      </c>
      <c r="CB55">
        <v>0</v>
      </c>
      <c r="CC55">
        <v>2</v>
      </c>
      <c r="CD55">
        <v>3.8</v>
      </c>
      <c r="CE55">
        <v>2.9</v>
      </c>
      <c r="CF55">
        <v>2.9</v>
      </c>
      <c r="CG55">
        <v>6</v>
      </c>
      <c r="CH55">
        <v>5.1666666666666998</v>
      </c>
      <c r="CI55">
        <v>6</v>
      </c>
      <c r="CJ55">
        <v>5.1666666666666998</v>
      </c>
      <c r="CK55">
        <v>3.15</v>
      </c>
      <c r="CL55">
        <v>0</v>
      </c>
      <c r="CM55">
        <v>0</v>
      </c>
      <c r="CN55">
        <v>30</v>
      </c>
      <c r="CO55">
        <v>20</v>
      </c>
      <c r="CP55">
        <v>12</v>
      </c>
      <c r="CQ55">
        <v>1.0909090909090999</v>
      </c>
      <c r="CR55">
        <v>38</v>
      </c>
      <c r="CS55">
        <v>30</v>
      </c>
      <c r="CT55">
        <v>43</v>
      </c>
      <c r="CU55" s="1">
        <v>26</v>
      </c>
      <c r="CV55" s="1">
        <v>34</v>
      </c>
      <c r="CW55">
        <v>44</v>
      </c>
      <c r="CX55">
        <v>60</v>
      </c>
      <c r="CY55">
        <v>36</v>
      </c>
      <c r="CZ55">
        <v>60</v>
      </c>
      <c r="DA55">
        <v>27</v>
      </c>
      <c r="DB55">
        <v>60</v>
      </c>
      <c r="DC55">
        <v>6</v>
      </c>
      <c r="DD55">
        <v>6</v>
      </c>
      <c r="DE55">
        <v>5</v>
      </c>
      <c r="DF55">
        <v>1</v>
      </c>
      <c r="DG55">
        <v>45125</v>
      </c>
      <c r="DH55">
        <v>29563</v>
      </c>
      <c r="DI55">
        <v>42.61</v>
      </c>
      <c r="DJ55">
        <v>4</v>
      </c>
      <c r="DK55">
        <v>1</v>
      </c>
      <c r="DL55">
        <v>1</v>
      </c>
      <c r="DM55">
        <v>0</v>
      </c>
      <c r="DN55">
        <v>2</v>
      </c>
      <c r="DO55">
        <v>11</v>
      </c>
      <c r="DP55">
        <v>28</v>
      </c>
      <c r="DQ55">
        <v>3.6875</v>
      </c>
      <c r="DR55">
        <v>11</v>
      </c>
      <c r="DS55">
        <v>2</v>
      </c>
      <c r="DT55">
        <v>12</v>
      </c>
      <c r="DU55">
        <v>5</v>
      </c>
      <c r="DV55">
        <v>18</v>
      </c>
      <c r="DW55">
        <v>11</v>
      </c>
      <c r="DY55">
        <v>6</v>
      </c>
      <c r="DZ55">
        <v>0</v>
      </c>
      <c r="EA55">
        <v>7</v>
      </c>
      <c r="EB55">
        <v>6</v>
      </c>
      <c r="EC55" t="s">
        <v>133</v>
      </c>
      <c r="ED55" t="s">
        <v>133</v>
      </c>
      <c r="EE55" t="s">
        <v>133</v>
      </c>
      <c r="EF55">
        <v>0</v>
      </c>
      <c r="EG55">
        <v>17584</v>
      </c>
      <c r="EH55">
        <v>7</v>
      </c>
      <c r="EI55">
        <v>1</v>
      </c>
      <c r="EJ55" t="s">
        <v>133</v>
      </c>
      <c r="EK55" t="s">
        <v>133</v>
      </c>
      <c r="EL55" t="s">
        <v>133</v>
      </c>
      <c r="EM55">
        <v>15</v>
      </c>
      <c r="EN55">
        <v>13</v>
      </c>
      <c r="EO55">
        <v>17</v>
      </c>
      <c r="EP55">
        <v>17</v>
      </c>
      <c r="EQ55">
        <v>17</v>
      </c>
      <c r="ER55" t="s">
        <v>133</v>
      </c>
      <c r="ES55" t="s">
        <v>133</v>
      </c>
    </row>
    <row r="56" spans="1:149" x14ac:dyDescent="0.2">
      <c r="A56">
        <v>10803</v>
      </c>
      <c r="B56">
        <v>21.66</v>
      </c>
      <c r="C56">
        <f t="shared" si="0"/>
        <v>-21.392413793103447</v>
      </c>
      <c r="D56">
        <v>2.7</v>
      </c>
      <c r="E56">
        <f t="shared" si="1"/>
        <v>-0.37931034482758585</v>
      </c>
      <c r="F56">
        <v>1</v>
      </c>
      <c r="G56">
        <f t="shared" si="2"/>
        <v>-6.431034482758621</v>
      </c>
      <c r="H56">
        <v>4.1666666666666599</v>
      </c>
      <c r="I56">
        <f t="shared" si="3"/>
        <v>8.1143638525564725</v>
      </c>
      <c r="J56">
        <f t="shared" si="4"/>
        <v>137.57535077288941</v>
      </c>
      <c r="K56">
        <f t="shared" si="5"/>
        <v>2.4393579072532678</v>
      </c>
      <c r="L56">
        <f t="shared" si="6"/>
        <v>-52.183753741440768</v>
      </c>
      <c r="M56">
        <v>22601</v>
      </c>
      <c r="N56">
        <v>3.3333330000000001</v>
      </c>
      <c r="O56">
        <v>4.3333329999999997</v>
      </c>
      <c r="P56">
        <v>5.6</v>
      </c>
      <c r="Q56">
        <v>4.6666670000000003</v>
      </c>
      <c r="R56">
        <v>4.6666670000000003</v>
      </c>
      <c r="S56">
        <v>2.4</v>
      </c>
      <c r="T56" t="s">
        <v>136</v>
      </c>
      <c r="U56" t="s">
        <v>132</v>
      </c>
      <c r="V56">
        <v>3.56</v>
      </c>
      <c r="W56">
        <v>3.4</v>
      </c>
      <c r="X56">
        <v>0</v>
      </c>
      <c r="Y56">
        <v>1</v>
      </c>
      <c r="Z56">
        <v>0</v>
      </c>
      <c r="AA56">
        <v>4.83</v>
      </c>
      <c r="AB56">
        <v>4.5</v>
      </c>
      <c r="AC56">
        <v>4.38</v>
      </c>
      <c r="AD56">
        <v>4.5</v>
      </c>
      <c r="AE56">
        <v>4.47</v>
      </c>
      <c r="AF56">
        <v>19</v>
      </c>
      <c r="AG56">
        <v>5</v>
      </c>
      <c r="AH56">
        <v>7</v>
      </c>
      <c r="AI56">
        <v>0</v>
      </c>
      <c r="AJ56">
        <v>7</v>
      </c>
      <c r="AK56">
        <v>6</v>
      </c>
      <c r="AL56">
        <v>8</v>
      </c>
      <c r="AM56">
        <v>2</v>
      </c>
      <c r="AN56">
        <v>5</v>
      </c>
      <c r="AO56">
        <v>4</v>
      </c>
      <c r="AP56">
        <v>25</v>
      </c>
      <c r="AQ56">
        <v>25</v>
      </c>
      <c r="AR56">
        <v>10</v>
      </c>
      <c r="AS56">
        <v>0</v>
      </c>
      <c r="AT56">
        <v>0</v>
      </c>
      <c r="AU56">
        <v>5.42</v>
      </c>
      <c r="AV56">
        <v>5.75</v>
      </c>
      <c r="AW56">
        <v>4.5</v>
      </c>
      <c r="AX56">
        <v>6</v>
      </c>
      <c r="AZ56">
        <v>15</v>
      </c>
      <c r="BA56">
        <v>4.83</v>
      </c>
      <c r="BC56">
        <v>2.33</v>
      </c>
      <c r="BD56">
        <v>9999</v>
      </c>
      <c r="BE56">
        <v>0</v>
      </c>
      <c r="BF56">
        <v>44</v>
      </c>
      <c r="BG56">
        <v>1.25</v>
      </c>
      <c r="BH56">
        <v>1.25</v>
      </c>
      <c r="BI56">
        <v>1</v>
      </c>
      <c r="BJ56">
        <v>1.25</v>
      </c>
      <c r="BK56">
        <v>1</v>
      </c>
      <c r="BL56">
        <v>1</v>
      </c>
      <c r="BM56">
        <v>1</v>
      </c>
      <c r="BN56">
        <v>1.1071428571429001</v>
      </c>
      <c r="BO56">
        <v>93</v>
      </c>
      <c r="BP56">
        <v>73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37</v>
      </c>
      <c r="BW56">
        <v>35</v>
      </c>
      <c r="BX56">
        <v>8991</v>
      </c>
      <c r="BY56">
        <v>0</v>
      </c>
      <c r="BZ56">
        <v>0</v>
      </c>
      <c r="CA56">
        <v>0</v>
      </c>
      <c r="CB56">
        <v>0</v>
      </c>
      <c r="CC56">
        <v>3</v>
      </c>
      <c r="CD56">
        <v>2.7</v>
      </c>
      <c r="CE56">
        <v>3.4</v>
      </c>
      <c r="CF56">
        <v>3.03</v>
      </c>
      <c r="CG56">
        <v>4.3333333333333002</v>
      </c>
      <c r="CH56">
        <v>4.3333333333333002</v>
      </c>
      <c r="CI56">
        <v>4.3333333333333002</v>
      </c>
      <c r="CJ56">
        <v>4</v>
      </c>
      <c r="CK56">
        <v>1.25</v>
      </c>
      <c r="CL56">
        <v>0</v>
      </c>
      <c r="CM56">
        <v>0</v>
      </c>
      <c r="CN56">
        <v>16</v>
      </c>
      <c r="CO56">
        <v>0</v>
      </c>
      <c r="CP56">
        <v>7</v>
      </c>
      <c r="CQ56">
        <v>1</v>
      </c>
      <c r="CR56">
        <v>22</v>
      </c>
      <c r="CS56">
        <v>24</v>
      </c>
      <c r="CT56">
        <v>29</v>
      </c>
      <c r="CU56" s="1">
        <v>12</v>
      </c>
      <c r="CV56" s="1">
        <v>35</v>
      </c>
      <c r="CW56">
        <v>40</v>
      </c>
      <c r="CX56">
        <v>60</v>
      </c>
      <c r="CY56">
        <v>39</v>
      </c>
      <c r="CZ56">
        <v>60</v>
      </c>
      <c r="DA56">
        <v>36</v>
      </c>
      <c r="DB56">
        <v>60</v>
      </c>
      <c r="DC56">
        <v>0</v>
      </c>
      <c r="DD56">
        <v>0</v>
      </c>
      <c r="DE56">
        <v>6</v>
      </c>
      <c r="DF56">
        <v>2</v>
      </c>
      <c r="DG56">
        <v>45126</v>
      </c>
      <c r="DH56">
        <v>37242</v>
      </c>
      <c r="DI56">
        <v>21.59</v>
      </c>
      <c r="DJ56">
        <v>1</v>
      </c>
      <c r="DK56">
        <v>1</v>
      </c>
      <c r="DL56">
        <v>0</v>
      </c>
      <c r="DM56">
        <v>0</v>
      </c>
      <c r="DN56">
        <v>1</v>
      </c>
      <c r="DO56">
        <v>3</v>
      </c>
      <c r="DP56">
        <v>0</v>
      </c>
      <c r="DQ56">
        <v>2.9375</v>
      </c>
      <c r="DR56">
        <v>11</v>
      </c>
      <c r="DS56">
        <v>2</v>
      </c>
      <c r="DT56">
        <v>9</v>
      </c>
      <c r="DU56">
        <v>6</v>
      </c>
      <c r="DV56">
        <v>15</v>
      </c>
      <c r="DW56">
        <v>4</v>
      </c>
      <c r="DY56">
        <v>4</v>
      </c>
      <c r="DZ56">
        <v>1</v>
      </c>
      <c r="EA56">
        <v>6</v>
      </c>
      <c r="EB56">
        <v>4</v>
      </c>
      <c r="EC56" t="s">
        <v>133</v>
      </c>
      <c r="ED56" t="s">
        <v>133</v>
      </c>
      <c r="EE56" t="s">
        <v>133</v>
      </c>
      <c r="EF56">
        <v>3</v>
      </c>
      <c r="EG56">
        <v>11220</v>
      </c>
      <c r="EH56">
        <v>6</v>
      </c>
      <c r="EI56">
        <v>0</v>
      </c>
      <c r="EJ56" t="s">
        <v>133</v>
      </c>
      <c r="EK56" t="s">
        <v>133</v>
      </c>
      <c r="EL56" t="s">
        <v>133</v>
      </c>
      <c r="EM56">
        <v>11</v>
      </c>
      <c r="EN56">
        <v>9</v>
      </c>
      <c r="EO56">
        <v>10</v>
      </c>
      <c r="EP56">
        <v>15</v>
      </c>
      <c r="EQ56">
        <v>14</v>
      </c>
      <c r="ER56" t="s">
        <v>133</v>
      </c>
      <c r="ES56" t="s">
        <v>133</v>
      </c>
    </row>
    <row r="57" spans="1:149" x14ac:dyDescent="0.2">
      <c r="A57">
        <v>10804</v>
      </c>
      <c r="B57">
        <v>25.5</v>
      </c>
      <c r="C57">
        <f t="shared" si="0"/>
        <v>-17.552413793103447</v>
      </c>
      <c r="D57">
        <v>3</v>
      </c>
      <c r="E57">
        <f t="shared" si="1"/>
        <v>-7.9310344827586032E-2</v>
      </c>
      <c r="F57">
        <v>14</v>
      </c>
      <c r="G57">
        <f t="shared" si="2"/>
        <v>6.568965517241379</v>
      </c>
      <c r="H57">
        <v>4.25</v>
      </c>
      <c r="I57">
        <f t="shared" si="3"/>
        <v>1.3920879904875116</v>
      </c>
      <c r="J57">
        <f t="shared" si="4"/>
        <v>-115.3012009512485</v>
      </c>
      <c r="K57">
        <f t="shared" si="5"/>
        <v>-0.52098692033293581</v>
      </c>
      <c r="L57">
        <f t="shared" si="6"/>
        <v>9.1445780064783087</v>
      </c>
      <c r="M57">
        <v>120798</v>
      </c>
      <c r="N57">
        <v>5.2727269999999997</v>
      </c>
      <c r="O57">
        <v>5.1666670000000003</v>
      </c>
      <c r="P57">
        <v>6</v>
      </c>
      <c r="Q57">
        <v>4.2857139999999996</v>
      </c>
      <c r="R57">
        <v>6.6153849999999998</v>
      </c>
      <c r="S57">
        <v>4.3333329999999997</v>
      </c>
      <c r="T57" t="s">
        <v>137</v>
      </c>
      <c r="U57" t="s">
        <v>132</v>
      </c>
      <c r="V57">
        <v>4.67</v>
      </c>
      <c r="W57">
        <v>4.7</v>
      </c>
      <c r="X57">
        <v>4</v>
      </c>
      <c r="Y57">
        <v>2</v>
      </c>
      <c r="Z57">
        <v>0</v>
      </c>
      <c r="AA57">
        <v>6.5</v>
      </c>
      <c r="AB57">
        <v>5.83</v>
      </c>
      <c r="AC57">
        <v>6.25</v>
      </c>
      <c r="AD57">
        <v>6</v>
      </c>
      <c r="AE57">
        <v>5.9</v>
      </c>
      <c r="AF57">
        <v>16</v>
      </c>
      <c r="AG57">
        <v>6</v>
      </c>
      <c r="AH57">
        <v>6</v>
      </c>
      <c r="AI57">
        <v>0</v>
      </c>
      <c r="AJ57">
        <v>4</v>
      </c>
      <c r="AK57">
        <v>1</v>
      </c>
      <c r="AL57">
        <v>3</v>
      </c>
      <c r="AM57">
        <v>8</v>
      </c>
      <c r="AN57">
        <v>1</v>
      </c>
      <c r="AO57">
        <v>4</v>
      </c>
      <c r="AP57">
        <v>17</v>
      </c>
      <c r="AQ57">
        <v>31</v>
      </c>
      <c r="AR57">
        <v>10</v>
      </c>
      <c r="AS57">
        <v>0</v>
      </c>
      <c r="AT57">
        <v>0</v>
      </c>
      <c r="AU57">
        <v>2</v>
      </c>
      <c r="AV57">
        <v>2</v>
      </c>
      <c r="AW57">
        <v>2</v>
      </c>
      <c r="AX57">
        <v>2</v>
      </c>
      <c r="AZ57">
        <v>10</v>
      </c>
      <c r="BA57">
        <v>1.17</v>
      </c>
      <c r="BC57">
        <v>2.5</v>
      </c>
      <c r="BD57">
        <v>9999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20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8991</v>
      </c>
      <c r="BY57">
        <v>0</v>
      </c>
      <c r="BZ57">
        <v>0</v>
      </c>
      <c r="CA57">
        <v>0</v>
      </c>
      <c r="CB57">
        <v>0</v>
      </c>
      <c r="CC57">
        <v>3.3</v>
      </c>
      <c r="CD57">
        <v>3.2</v>
      </c>
      <c r="CE57">
        <v>3.3</v>
      </c>
      <c r="CF57">
        <v>3.27</v>
      </c>
      <c r="CG57">
        <v>6</v>
      </c>
      <c r="CH57">
        <v>5.5</v>
      </c>
      <c r="CI57">
        <v>6</v>
      </c>
      <c r="CJ57">
        <v>5.5</v>
      </c>
      <c r="CK57">
        <v>0.25</v>
      </c>
      <c r="CL57">
        <v>0</v>
      </c>
      <c r="CM57">
        <v>0</v>
      </c>
      <c r="CN57">
        <v>23</v>
      </c>
      <c r="CO57">
        <v>25</v>
      </c>
      <c r="CP57">
        <v>9</v>
      </c>
      <c r="CQ57">
        <v>1</v>
      </c>
      <c r="CR57">
        <v>32</v>
      </c>
      <c r="CS57">
        <v>33</v>
      </c>
      <c r="CT57">
        <v>54</v>
      </c>
      <c r="CU57" s="1">
        <v>32</v>
      </c>
      <c r="CV57" s="1">
        <v>33</v>
      </c>
      <c r="CW57">
        <v>42</v>
      </c>
      <c r="CX57">
        <v>60</v>
      </c>
      <c r="CY57">
        <v>30</v>
      </c>
      <c r="CZ57">
        <v>60</v>
      </c>
      <c r="DA57">
        <v>23</v>
      </c>
      <c r="DB57">
        <v>60</v>
      </c>
      <c r="DC57">
        <v>0</v>
      </c>
      <c r="DD57">
        <v>0</v>
      </c>
      <c r="DE57">
        <v>2</v>
      </c>
      <c r="DF57">
        <v>1</v>
      </c>
      <c r="DG57">
        <v>45127</v>
      </c>
      <c r="DH57">
        <v>35838</v>
      </c>
      <c r="DI57">
        <v>25.43</v>
      </c>
      <c r="DJ57">
        <v>5</v>
      </c>
      <c r="DK57">
        <v>1</v>
      </c>
      <c r="DL57">
        <v>1</v>
      </c>
      <c r="DM57">
        <v>0</v>
      </c>
      <c r="DN57">
        <v>4</v>
      </c>
      <c r="DO57">
        <v>9</v>
      </c>
      <c r="DP57">
        <v>0</v>
      </c>
      <c r="DQ57">
        <v>3.5</v>
      </c>
      <c r="DR57">
        <v>6</v>
      </c>
      <c r="DS57">
        <v>7</v>
      </c>
      <c r="DT57">
        <v>10</v>
      </c>
      <c r="DU57">
        <v>8</v>
      </c>
      <c r="DV57">
        <v>15</v>
      </c>
      <c r="DW57">
        <v>10</v>
      </c>
      <c r="DY57">
        <v>4</v>
      </c>
      <c r="DZ57">
        <v>0</v>
      </c>
      <c r="EA57">
        <v>3</v>
      </c>
      <c r="EB57">
        <v>4</v>
      </c>
      <c r="EC57" t="s">
        <v>133</v>
      </c>
      <c r="ED57" t="s">
        <v>133</v>
      </c>
      <c r="EE57" t="s">
        <v>133</v>
      </c>
      <c r="EF57">
        <v>0</v>
      </c>
      <c r="EG57">
        <v>7307</v>
      </c>
      <c r="EH57">
        <v>3</v>
      </c>
      <c r="EI57">
        <v>1</v>
      </c>
      <c r="EJ57" t="s">
        <v>133</v>
      </c>
      <c r="EK57" t="s">
        <v>133</v>
      </c>
      <c r="EL57" t="s">
        <v>133</v>
      </c>
      <c r="EM57">
        <v>10</v>
      </c>
      <c r="EN57">
        <v>13</v>
      </c>
      <c r="EO57">
        <v>11</v>
      </c>
      <c r="EP57">
        <v>12</v>
      </c>
      <c r="EQ57">
        <v>16</v>
      </c>
      <c r="ER57" t="s">
        <v>133</v>
      </c>
      <c r="ES57" t="s">
        <v>133</v>
      </c>
    </row>
    <row r="58" spans="1:149" x14ac:dyDescent="0.2">
      <c r="A58">
        <v>10806</v>
      </c>
      <c r="B58">
        <v>26.99</v>
      </c>
      <c r="C58">
        <f t="shared" si="0"/>
        <v>-16.062413793103449</v>
      </c>
      <c r="D58">
        <v>2.4</v>
      </c>
      <c r="E58">
        <f t="shared" si="1"/>
        <v>-0.67931034482758612</v>
      </c>
      <c r="F58">
        <v>6</v>
      </c>
      <c r="G58">
        <f t="shared" si="2"/>
        <v>-1.431034482758621</v>
      </c>
      <c r="H58">
        <v>2.9166666666666599</v>
      </c>
      <c r="I58">
        <f t="shared" si="3"/>
        <v>10.91136385255648</v>
      </c>
      <c r="J58">
        <f t="shared" si="4"/>
        <v>22.985868014268732</v>
      </c>
      <c r="K58">
        <f t="shared" si="5"/>
        <v>0.97211652794292513</v>
      </c>
      <c r="L58">
        <f t="shared" si="6"/>
        <v>-15.614537926934277</v>
      </c>
      <c r="M58">
        <v>150896</v>
      </c>
      <c r="N58">
        <v>2.2222219999999999</v>
      </c>
      <c r="O58">
        <v>2.8571430000000002</v>
      </c>
      <c r="P58">
        <v>4</v>
      </c>
      <c r="Q58">
        <v>4.3333329999999997</v>
      </c>
      <c r="R58">
        <v>4.5</v>
      </c>
      <c r="S58">
        <v>6.5</v>
      </c>
      <c r="T58" t="s">
        <v>140</v>
      </c>
      <c r="U58" t="s">
        <v>134</v>
      </c>
      <c r="V58">
        <v>0</v>
      </c>
      <c r="W58">
        <v>0</v>
      </c>
      <c r="X58">
        <v>0</v>
      </c>
      <c r="Y58">
        <v>0</v>
      </c>
      <c r="Z58">
        <v>0</v>
      </c>
      <c r="AA58" t="s">
        <v>133</v>
      </c>
      <c r="AB58" t="s">
        <v>133</v>
      </c>
      <c r="AC58" t="s">
        <v>133</v>
      </c>
      <c r="AD58" t="s">
        <v>133</v>
      </c>
      <c r="AE58" t="s">
        <v>133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27</v>
      </c>
      <c r="AR58">
        <v>11</v>
      </c>
      <c r="AS58">
        <v>0</v>
      </c>
      <c r="AT58">
        <v>0</v>
      </c>
      <c r="AU58">
        <v>5</v>
      </c>
      <c r="AV58">
        <v>6</v>
      </c>
      <c r="AW58">
        <v>3.5</v>
      </c>
      <c r="AX58">
        <v>5.5</v>
      </c>
      <c r="AZ58">
        <v>14</v>
      </c>
      <c r="BA58">
        <v>2.33</v>
      </c>
      <c r="BC58">
        <v>2.33</v>
      </c>
      <c r="BD58">
        <v>9999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20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8991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6</v>
      </c>
      <c r="CH58">
        <v>3.8333333333333299</v>
      </c>
      <c r="CI58">
        <v>3.5</v>
      </c>
      <c r="CJ58">
        <v>2.6666666666666599</v>
      </c>
      <c r="CK58">
        <v>0</v>
      </c>
      <c r="CL58">
        <v>0</v>
      </c>
      <c r="CM58">
        <v>0</v>
      </c>
      <c r="CN58">
        <v>14</v>
      </c>
      <c r="CO58">
        <v>26</v>
      </c>
      <c r="CP58">
        <v>5</v>
      </c>
      <c r="CQ58">
        <v>0.83333333333333004</v>
      </c>
      <c r="CR58">
        <v>18</v>
      </c>
      <c r="CS58">
        <v>45</v>
      </c>
      <c r="CT58">
        <v>50</v>
      </c>
      <c r="CU58" s="1">
        <v>0</v>
      </c>
      <c r="CV58" s="1">
        <v>31</v>
      </c>
      <c r="CW58">
        <v>44</v>
      </c>
      <c r="CX58">
        <v>60</v>
      </c>
      <c r="CY58">
        <v>36</v>
      </c>
      <c r="CZ58">
        <v>60</v>
      </c>
      <c r="DA58">
        <v>27</v>
      </c>
      <c r="DB58">
        <v>60</v>
      </c>
      <c r="DC58">
        <v>1</v>
      </c>
      <c r="DD58">
        <v>1</v>
      </c>
      <c r="DE58">
        <v>5</v>
      </c>
      <c r="DF58">
        <v>1</v>
      </c>
      <c r="DG58">
        <v>45127</v>
      </c>
      <c r="DH58">
        <v>35315</v>
      </c>
      <c r="DI58">
        <v>26.86</v>
      </c>
      <c r="DJ58">
        <v>6</v>
      </c>
      <c r="DK58">
        <v>0</v>
      </c>
      <c r="DL58">
        <v>7</v>
      </c>
      <c r="DM58">
        <v>2</v>
      </c>
      <c r="DN58">
        <v>0</v>
      </c>
      <c r="DO58">
        <v>1</v>
      </c>
      <c r="DP58">
        <v>0</v>
      </c>
      <c r="DQ58">
        <v>2.875</v>
      </c>
      <c r="DR58">
        <v>10</v>
      </c>
      <c r="DS58">
        <v>5</v>
      </c>
      <c r="DT58">
        <v>9</v>
      </c>
      <c r="DU58">
        <v>0</v>
      </c>
      <c r="DV58">
        <v>15</v>
      </c>
      <c r="DW58">
        <v>7</v>
      </c>
      <c r="DY58">
        <v>5</v>
      </c>
      <c r="DZ58">
        <v>0</v>
      </c>
      <c r="EA58">
        <v>7</v>
      </c>
      <c r="EB58">
        <v>5</v>
      </c>
      <c r="EC58" t="s">
        <v>133</v>
      </c>
      <c r="ED58" t="s">
        <v>133</v>
      </c>
      <c r="EE58" t="s">
        <v>133</v>
      </c>
      <c r="EF58">
        <v>0</v>
      </c>
      <c r="EG58">
        <v>7828</v>
      </c>
      <c r="EH58">
        <v>7</v>
      </c>
      <c r="EI58">
        <v>0</v>
      </c>
      <c r="EJ58" t="s">
        <v>133</v>
      </c>
      <c r="EK58" t="s">
        <v>133</v>
      </c>
      <c r="EL58" t="s">
        <v>133</v>
      </c>
      <c r="EM58">
        <v>18</v>
      </c>
      <c r="EN58">
        <v>18</v>
      </c>
      <c r="EO58">
        <v>17</v>
      </c>
      <c r="EP58">
        <v>20</v>
      </c>
      <c r="EQ58">
        <v>20</v>
      </c>
      <c r="ER58" t="s">
        <v>133</v>
      </c>
      <c r="ES58" t="s">
        <v>133</v>
      </c>
    </row>
    <row r="59" spans="1:149" x14ac:dyDescent="0.2">
      <c r="A59">
        <v>10807</v>
      </c>
      <c r="B59">
        <v>58.05</v>
      </c>
      <c r="C59">
        <f t="shared" si="0"/>
        <v>14.99758620689655</v>
      </c>
      <c r="D59">
        <v>2.2000000000000002</v>
      </c>
      <c r="E59">
        <f t="shared" si="1"/>
        <v>-0.87931034482758585</v>
      </c>
      <c r="F59">
        <v>0</v>
      </c>
      <c r="G59">
        <f t="shared" si="2"/>
        <v>-7.431034482758621</v>
      </c>
      <c r="H59">
        <v>7</v>
      </c>
      <c r="I59">
        <f t="shared" si="3"/>
        <v>-13.187532699167651</v>
      </c>
      <c r="J59">
        <f t="shared" si="4"/>
        <v>-111.44758026159333</v>
      </c>
      <c r="K59">
        <f t="shared" si="5"/>
        <v>6.5341854934601642</v>
      </c>
      <c r="L59">
        <f t="shared" si="6"/>
        <v>97.997010230021687</v>
      </c>
      <c r="M59">
        <v>12365</v>
      </c>
      <c r="N59">
        <v>5.0769229999999999</v>
      </c>
      <c r="O59">
        <v>6.3333329999999997</v>
      </c>
      <c r="P59">
        <v>5.6666670000000003</v>
      </c>
      <c r="Q59">
        <v>5.3846150000000002</v>
      </c>
      <c r="R59">
        <v>6.1538459999999997</v>
      </c>
      <c r="S59">
        <v>6</v>
      </c>
      <c r="T59" t="s">
        <v>135</v>
      </c>
      <c r="U59" t="s">
        <v>134</v>
      </c>
      <c r="V59">
        <v>4.78</v>
      </c>
      <c r="W59">
        <v>4.5999999999999996</v>
      </c>
      <c r="X59">
        <v>2</v>
      </c>
      <c r="Y59">
        <v>0</v>
      </c>
      <c r="Z59">
        <v>0</v>
      </c>
      <c r="AA59">
        <v>6.67</v>
      </c>
      <c r="AB59">
        <v>5.33</v>
      </c>
      <c r="AC59">
        <v>4.5</v>
      </c>
      <c r="AD59">
        <v>5.83</v>
      </c>
      <c r="AE59">
        <v>5.57</v>
      </c>
      <c r="AF59">
        <v>7</v>
      </c>
      <c r="AG59">
        <v>1</v>
      </c>
      <c r="AH59">
        <v>0</v>
      </c>
      <c r="AI59">
        <v>0</v>
      </c>
      <c r="AJ59">
        <v>6</v>
      </c>
      <c r="AK59">
        <v>3</v>
      </c>
      <c r="AL59">
        <v>5</v>
      </c>
      <c r="AM59">
        <v>1</v>
      </c>
      <c r="AN59">
        <v>4</v>
      </c>
      <c r="AO59">
        <v>2</v>
      </c>
      <c r="AP59">
        <v>15</v>
      </c>
      <c r="AQ59">
        <v>36</v>
      </c>
      <c r="AR59">
        <v>12</v>
      </c>
      <c r="AS59">
        <v>0</v>
      </c>
      <c r="AT59">
        <v>0</v>
      </c>
      <c r="AU59">
        <v>7</v>
      </c>
      <c r="AV59">
        <v>7</v>
      </c>
      <c r="AW59">
        <v>7</v>
      </c>
      <c r="AX59">
        <v>7</v>
      </c>
      <c r="AZ59">
        <v>9</v>
      </c>
      <c r="BA59">
        <v>1</v>
      </c>
      <c r="BC59">
        <v>3</v>
      </c>
      <c r="BD59">
        <v>9999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20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8991</v>
      </c>
      <c r="BY59">
        <v>0</v>
      </c>
      <c r="BZ59">
        <v>0</v>
      </c>
      <c r="CA59">
        <v>0</v>
      </c>
      <c r="CB59">
        <v>0</v>
      </c>
      <c r="CC59">
        <v>2.8</v>
      </c>
      <c r="CD59">
        <v>3.6</v>
      </c>
      <c r="CE59">
        <v>2.6</v>
      </c>
      <c r="CF59">
        <v>3</v>
      </c>
      <c r="CG59">
        <v>2.6666666666666998</v>
      </c>
      <c r="CH59">
        <v>2.1666666666666998</v>
      </c>
      <c r="CI59">
        <v>4.6666666666666998</v>
      </c>
      <c r="CJ59">
        <v>6</v>
      </c>
      <c r="CK59">
        <v>0.5</v>
      </c>
      <c r="CL59">
        <v>0</v>
      </c>
      <c r="CM59">
        <v>0</v>
      </c>
      <c r="CN59">
        <v>18</v>
      </c>
      <c r="CO59">
        <v>27</v>
      </c>
      <c r="CP59">
        <v>7</v>
      </c>
      <c r="CQ59">
        <v>1</v>
      </c>
      <c r="CR59">
        <v>25</v>
      </c>
      <c r="CS59">
        <v>23</v>
      </c>
      <c r="CT59">
        <v>24</v>
      </c>
      <c r="CU59" s="1">
        <v>21</v>
      </c>
      <c r="CV59" s="1">
        <v>18</v>
      </c>
      <c r="CW59">
        <v>26</v>
      </c>
      <c r="CX59">
        <v>60</v>
      </c>
      <c r="CY59">
        <v>20</v>
      </c>
      <c r="CZ59">
        <v>60</v>
      </c>
      <c r="DA59">
        <v>22</v>
      </c>
      <c r="DB59">
        <v>60</v>
      </c>
      <c r="DC59">
        <v>4</v>
      </c>
      <c r="DD59">
        <v>4</v>
      </c>
      <c r="DE59">
        <v>7</v>
      </c>
      <c r="DF59">
        <v>4</v>
      </c>
      <c r="DG59">
        <v>45181</v>
      </c>
      <c r="DH59">
        <v>23995</v>
      </c>
      <c r="DI59">
        <v>58.01</v>
      </c>
      <c r="DJ59">
        <v>3</v>
      </c>
      <c r="DK59">
        <v>0</v>
      </c>
      <c r="DL59">
        <v>0</v>
      </c>
      <c r="DM59">
        <v>0</v>
      </c>
      <c r="DN59">
        <v>3</v>
      </c>
      <c r="DO59">
        <v>14</v>
      </c>
      <c r="DP59">
        <v>12</v>
      </c>
      <c r="DQ59">
        <v>4.3125</v>
      </c>
      <c r="DR59">
        <v>12</v>
      </c>
      <c r="DS59">
        <v>12</v>
      </c>
      <c r="DT59">
        <v>12</v>
      </c>
      <c r="DU59">
        <v>3</v>
      </c>
      <c r="DV59">
        <v>18</v>
      </c>
      <c r="DW59">
        <v>12</v>
      </c>
      <c r="DY59">
        <v>4</v>
      </c>
      <c r="DZ59">
        <v>1</v>
      </c>
      <c r="EA59">
        <v>4</v>
      </c>
      <c r="EB59">
        <v>4</v>
      </c>
      <c r="EC59" t="s">
        <v>133</v>
      </c>
      <c r="ED59" t="s">
        <v>133</v>
      </c>
      <c r="EE59" t="s">
        <v>133</v>
      </c>
      <c r="EF59">
        <v>4</v>
      </c>
      <c r="EG59">
        <v>10301</v>
      </c>
      <c r="EH59">
        <v>4</v>
      </c>
      <c r="EI59">
        <v>0</v>
      </c>
      <c r="EJ59" t="s">
        <v>133</v>
      </c>
      <c r="EK59" t="s">
        <v>133</v>
      </c>
      <c r="EL59" t="s">
        <v>133</v>
      </c>
      <c r="EM59">
        <v>14</v>
      </c>
      <c r="EN59">
        <v>15</v>
      </c>
      <c r="EO59">
        <v>10</v>
      </c>
      <c r="EP59">
        <v>13</v>
      </c>
      <c r="EQ59">
        <v>26</v>
      </c>
      <c r="ER59" t="s">
        <v>133</v>
      </c>
      <c r="ES59" t="s">
        <v>133</v>
      </c>
    </row>
    <row r="60" spans="1:149" x14ac:dyDescent="0.2">
      <c r="B60">
        <f>AVERAGE(B2:B59)</f>
        <v>43.052413793103447</v>
      </c>
      <c r="C60">
        <f t="shared" ref="C60:G60" si="7">AVERAGE(C2:C59)</f>
        <v>6.125368411725002E-16</v>
      </c>
      <c r="D60">
        <f t="shared" si="7"/>
        <v>3.079310344827586</v>
      </c>
      <c r="E60">
        <f t="shared" si="7"/>
        <v>1.4547749977846878E-16</v>
      </c>
      <c r="F60">
        <f t="shared" si="7"/>
        <v>7.431034482758621</v>
      </c>
      <c r="G60">
        <f t="shared" si="7"/>
        <v>1.0106857879346253E-15</v>
      </c>
      <c r="H60">
        <f t="shared" ref="H60" si="8">AVERAGE(H2:H59)</f>
        <v>4.4015151515151478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3FC88-8921-F149-8EB3-C34F19382B7C}">
  <dimension ref="A1:C59"/>
  <sheetViews>
    <sheetView workbookViewId="0">
      <selection sqref="A1:C1048576"/>
    </sheetView>
  </sheetViews>
  <sheetFormatPr baseColWidth="10" defaultRowHeight="16" x14ac:dyDescent="0.2"/>
  <sheetData>
    <row r="1" spans="1:3" x14ac:dyDescent="0.2">
      <c r="A1" t="s">
        <v>1</v>
      </c>
      <c r="B1" t="s">
        <v>150</v>
      </c>
      <c r="C1" t="s">
        <v>148</v>
      </c>
    </row>
    <row r="2" spans="1:3" x14ac:dyDescent="0.2">
      <c r="A2">
        <v>10369</v>
      </c>
      <c r="B2">
        <v>1</v>
      </c>
      <c r="C2">
        <v>-11.102413793103448</v>
      </c>
    </row>
    <row r="3" spans="1:3" x14ac:dyDescent="0.2">
      <c r="A3">
        <v>10402</v>
      </c>
      <c r="B3">
        <v>1</v>
      </c>
      <c r="C3">
        <v>-7.1124137931034497</v>
      </c>
    </row>
    <row r="4" spans="1:3" x14ac:dyDescent="0.2">
      <c r="A4">
        <v>10418</v>
      </c>
      <c r="B4">
        <v>1</v>
      </c>
      <c r="C4">
        <v>25.587586206896553</v>
      </c>
    </row>
    <row r="5" spans="1:3" x14ac:dyDescent="0.2">
      <c r="A5">
        <v>10462</v>
      </c>
      <c r="B5">
        <v>1</v>
      </c>
      <c r="C5">
        <v>18.987586206896552</v>
      </c>
    </row>
    <row r="6" spans="1:3" x14ac:dyDescent="0.2">
      <c r="A6">
        <v>10478</v>
      </c>
      <c r="B6">
        <v>1</v>
      </c>
      <c r="C6">
        <v>-15.152413793103449</v>
      </c>
    </row>
    <row r="7" spans="1:3" x14ac:dyDescent="0.2">
      <c r="A7" s="2">
        <v>10486</v>
      </c>
      <c r="B7">
        <v>1</v>
      </c>
      <c r="C7">
        <v>-1.1424137931034508</v>
      </c>
    </row>
    <row r="8" spans="1:3" x14ac:dyDescent="0.2">
      <c r="A8">
        <v>10529</v>
      </c>
      <c r="B8">
        <v>1</v>
      </c>
      <c r="C8">
        <v>24.74758620689655</v>
      </c>
    </row>
    <row r="9" spans="1:3" x14ac:dyDescent="0.2">
      <c r="A9">
        <v>10541</v>
      </c>
      <c r="B9">
        <v>1</v>
      </c>
      <c r="C9">
        <v>26.107586206896549</v>
      </c>
    </row>
    <row r="10" spans="1:3" x14ac:dyDescent="0.2">
      <c r="A10" s="2">
        <v>10572</v>
      </c>
      <c r="B10">
        <v>1</v>
      </c>
      <c r="C10">
        <v>27.407586206896546</v>
      </c>
    </row>
    <row r="11" spans="1:3" x14ac:dyDescent="0.2">
      <c r="A11">
        <v>10581</v>
      </c>
      <c r="B11">
        <v>1</v>
      </c>
      <c r="C11">
        <v>4.9775862068965537</v>
      </c>
    </row>
    <row r="12" spans="1:3" x14ac:dyDescent="0.2">
      <c r="A12">
        <v>10584</v>
      </c>
      <c r="B12">
        <v>1</v>
      </c>
      <c r="C12">
        <v>6.5875862068965532</v>
      </c>
    </row>
    <row r="13" spans="1:3" x14ac:dyDescent="0.2">
      <c r="A13" s="2">
        <v>10585</v>
      </c>
      <c r="B13">
        <v>1</v>
      </c>
      <c r="C13">
        <v>20.277586206896551</v>
      </c>
    </row>
    <row r="14" spans="1:3" x14ac:dyDescent="0.2">
      <c r="A14">
        <v>10589</v>
      </c>
      <c r="B14">
        <v>1</v>
      </c>
      <c r="C14">
        <v>-8.18241379310345</v>
      </c>
    </row>
    <row r="15" spans="1:3" x14ac:dyDescent="0.2">
      <c r="A15">
        <v>10590</v>
      </c>
      <c r="B15">
        <v>1</v>
      </c>
      <c r="C15">
        <v>13.347586206896551</v>
      </c>
    </row>
    <row r="16" spans="1:3" x14ac:dyDescent="0.2">
      <c r="A16">
        <v>10596</v>
      </c>
      <c r="B16">
        <v>1</v>
      </c>
      <c r="C16">
        <v>-15.782413793103448</v>
      </c>
    </row>
    <row r="17" spans="1:3" x14ac:dyDescent="0.2">
      <c r="A17">
        <v>10603</v>
      </c>
      <c r="B17">
        <v>1</v>
      </c>
      <c r="C17">
        <v>26.167586206896551</v>
      </c>
    </row>
    <row r="18" spans="1:3" x14ac:dyDescent="0.2">
      <c r="A18">
        <v>10606</v>
      </c>
      <c r="B18">
        <v>1</v>
      </c>
      <c r="C18">
        <v>-20.652413793103449</v>
      </c>
    </row>
    <row r="19" spans="1:3" x14ac:dyDescent="0.2">
      <c r="A19">
        <v>10608</v>
      </c>
      <c r="B19">
        <v>1</v>
      </c>
      <c r="C19">
        <v>-13.982413793103447</v>
      </c>
    </row>
    <row r="20" spans="1:3" x14ac:dyDescent="0.2">
      <c r="A20">
        <v>10617</v>
      </c>
      <c r="B20">
        <v>1</v>
      </c>
      <c r="C20">
        <v>30.347586206896558</v>
      </c>
    </row>
    <row r="21" spans="1:3" x14ac:dyDescent="0.2">
      <c r="A21">
        <v>10636</v>
      </c>
      <c r="B21">
        <v>1</v>
      </c>
      <c r="C21">
        <v>-16.242413793103449</v>
      </c>
    </row>
    <row r="22" spans="1:3" x14ac:dyDescent="0.2">
      <c r="A22">
        <v>10638</v>
      </c>
      <c r="B22">
        <v>1</v>
      </c>
      <c r="C22">
        <v>28.777586206896551</v>
      </c>
    </row>
    <row r="23" spans="1:3" x14ac:dyDescent="0.2">
      <c r="A23">
        <v>10640</v>
      </c>
      <c r="B23">
        <v>1</v>
      </c>
      <c r="C23">
        <v>-11.322413793103447</v>
      </c>
    </row>
    <row r="24" spans="1:3" x14ac:dyDescent="0.2">
      <c r="A24">
        <v>10641</v>
      </c>
      <c r="B24">
        <v>1</v>
      </c>
      <c r="C24">
        <v>1.6275862068965523</v>
      </c>
    </row>
    <row r="25" spans="1:3" x14ac:dyDescent="0.2">
      <c r="A25">
        <v>10642</v>
      </c>
      <c r="B25">
        <v>1</v>
      </c>
      <c r="C25">
        <v>-11.152413793103449</v>
      </c>
    </row>
    <row r="26" spans="1:3" x14ac:dyDescent="0.2">
      <c r="A26">
        <v>10644</v>
      </c>
      <c r="B26">
        <v>1</v>
      </c>
      <c r="C26">
        <v>26.357586206896549</v>
      </c>
    </row>
    <row r="27" spans="1:3" x14ac:dyDescent="0.2">
      <c r="A27">
        <v>10647</v>
      </c>
      <c r="B27">
        <v>1</v>
      </c>
      <c r="C27">
        <v>-18.462413793103448</v>
      </c>
    </row>
    <row r="28" spans="1:3" x14ac:dyDescent="0.2">
      <c r="A28">
        <v>10649</v>
      </c>
      <c r="B28">
        <v>1</v>
      </c>
      <c r="C28">
        <v>20.74758620689655</v>
      </c>
    </row>
    <row r="29" spans="1:3" x14ac:dyDescent="0.2">
      <c r="A29">
        <v>10652</v>
      </c>
      <c r="B29">
        <v>1</v>
      </c>
      <c r="C29">
        <v>26.99758620689655</v>
      </c>
    </row>
    <row r="30" spans="1:3" x14ac:dyDescent="0.2">
      <c r="A30">
        <v>10656</v>
      </c>
      <c r="B30">
        <v>1</v>
      </c>
      <c r="C30">
        <v>-21.622413793103448</v>
      </c>
    </row>
    <row r="31" spans="1:3" x14ac:dyDescent="0.2">
      <c r="A31">
        <v>10657</v>
      </c>
      <c r="B31">
        <v>1</v>
      </c>
      <c r="C31">
        <v>15.927586206896549</v>
      </c>
    </row>
    <row r="32" spans="1:3" x14ac:dyDescent="0.2">
      <c r="A32">
        <v>10659</v>
      </c>
      <c r="B32">
        <v>1</v>
      </c>
      <c r="C32">
        <v>19.337586206896553</v>
      </c>
    </row>
    <row r="33" spans="1:3" x14ac:dyDescent="0.2">
      <c r="A33">
        <v>10663</v>
      </c>
      <c r="B33">
        <v>1</v>
      </c>
      <c r="C33">
        <v>-20.982413793103447</v>
      </c>
    </row>
    <row r="34" spans="1:3" x14ac:dyDescent="0.2">
      <c r="A34">
        <v>10673</v>
      </c>
      <c r="B34">
        <v>1</v>
      </c>
      <c r="C34">
        <v>5.547586206896554</v>
      </c>
    </row>
    <row r="35" spans="1:3" x14ac:dyDescent="0.2">
      <c r="A35">
        <v>10674</v>
      </c>
      <c r="B35">
        <v>1</v>
      </c>
      <c r="C35">
        <v>-9.8524137931034446</v>
      </c>
    </row>
    <row r="36" spans="1:3" x14ac:dyDescent="0.2">
      <c r="A36">
        <v>10677</v>
      </c>
      <c r="B36">
        <v>1</v>
      </c>
      <c r="C36">
        <v>-9.68241379310345</v>
      </c>
    </row>
    <row r="37" spans="1:3" x14ac:dyDescent="0.2">
      <c r="A37">
        <v>10685</v>
      </c>
      <c r="B37">
        <v>1</v>
      </c>
      <c r="C37">
        <v>-8.6224137931034477</v>
      </c>
    </row>
    <row r="38" spans="1:3" x14ac:dyDescent="0.2">
      <c r="A38">
        <v>10691</v>
      </c>
      <c r="B38">
        <v>1</v>
      </c>
      <c r="C38">
        <v>15.217586206896556</v>
      </c>
    </row>
    <row r="39" spans="1:3" x14ac:dyDescent="0.2">
      <c r="A39">
        <v>10700</v>
      </c>
      <c r="B39">
        <v>1</v>
      </c>
      <c r="C39">
        <v>-19.442413793103448</v>
      </c>
    </row>
    <row r="40" spans="1:3" x14ac:dyDescent="0.2">
      <c r="A40">
        <v>10701</v>
      </c>
      <c r="B40">
        <v>1</v>
      </c>
      <c r="C40">
        <v>-16.032413793103448</v>
      </c>
    </row>
    <row r="41" spans="1:3" x14ac:dyDescent="0.2">
      <c r="A41">
        <v>10718</v>
      </c>
      <c r="B41">
        <v>1</v>
      </c>
      <c r="C41">
        <v>-14.752413793103447</v>
      </c>
    </row>
    <row r="42" spans="1:3" x14ac:dyDescent="0.2">
      <c r="A42">
        <v>10720</v>
      </c>
      <c r="B42">
        <v>1</v>
      </c>
      <c r="C42">
        <v>-9.6124137931034497</v>
      </c>
    </row>
    <row r="43" spans="1:3" x14ac:dyDescent="0.2">
      <c r="A43">
        <v>10723</v>
      </c>
      <c r="B43">
        <v>1</v>
      </c>
      <c r="C43">
        <v>-21.352413793103448</v>
      </c>
    </row>
    <row r="44" spans="1:3" x14ac:dyDescent="0.2">
      <c r="A44">
        <v>10741</v>
      </c>
      <c r="B44">
        <v>1</v>
      </c>
      <c r="C44">
        <v>-6.1224137931034477</v>
      </c>
    </row>
    <row r="45" spans="1:3" x14ac:dyDescent="0.2">
      <c r="A45">
        <v>10748</v>
      </c>
      <c r="B45">
        <v>1</v>
      </c>
      <c r="C45">
        <v>-9.7524137931034502</v>
      </c>
    </row>
    <row r="46" spans="1:3" x14ac:dyDescent="0.2">
      <c r="A46">
        <v>10767</v>
      </c>
      <c r="B46">
        <v>1</v>
      </c>
      <c r="C46">
        <v>-17.542413793103446</v>
      </c>
    </row>
    <row r="47" spans="1:3" x14ac:dyDescent="0.2">
      <c r="A47">
        <v>10774</v>
      </c>
      <c r="B47">
        <v>1</v>
      </c>
      <c r="C47">
        <v>2.9475862068965526</v>
      </c>
    </row>
    <row r="48" spans="1:3" x14ac:dyDescent="0.2">
      <c r="A48">
        <v>10777</v>
      </c>
      <c r="B48">
        <v>1</v>
      </c>
      <c r="C48">
        <v>-4.692413793103448</v>
      </c>
    </row>
    <row r="49" spans="1:3" x14ac:dyDescent="0.2">
      <c r="A49">
        <v>10781</v>
      </c>
      <c r="B49">
        <v>1</v>
      </c>
      <c r="C49">
        <v>-5.5224137931034463</v>
      </c>
    </row>
    <row r="50" spans="1:3" x14ac:dyDescent="0.2">
      <c r="A50">
        <v>10783</v>
      </c>
      <c r="B50">
        <v>1</v>
      </c>
      <c r="C50">
        <v>8.1275862068965523</v>
      </c>
    </row>
    <row r="51" spans="1:3" x14ac:dyDescent="0.2">
      <c r="A51">
        <v>10785</v>
      </c>
      <c r="B51">
        <v>1</v>
      </c>
      <c r="C51">
        <v>18.177586206896549</v>
      </c>
    </row>
    <row r="52" spans="1:3" x14ac:dyDescent="0.2">
      <c r="A52">
        <v>10794</v>
      </c>
      <c r="B52">
        <v>1</v>
      </c>
      <c r="C52">
        <v>-3.3624137931034497</v>
      </c>
    </row>
    <row r="53" spans="1:3" x14ac:dyDescent="0.2">
      <c r="A53">
        <v>10800</v>
      </c>
      <c r="B53">
        <v>1</v>
      </c>
      <c r="C53">
        <v>-16.202413793103446</v>
      </c>
    </row>
    <row r="54" spans="1:3" x14ac:dyDescent="0.2">
      <c r="A54">
        <v>10801</v>
      </c>
      <c r="B54">
        <v>1</v>
      </c>
      <c r="C54">
        <v>-8.5224137931034463</v>
      </c>
    </row>
    <row r="55" spans="1:3" x14ac:dyDescent="0.2">
      <c r="A55">
        <v>10802</v>
      </c>
      <c r="B55">
        <v>1</v>
      </c>
      <c r="C55">
        <v>-0.36241379310344968</v>
      </c>
    </row>
    <row r="56" spans="1:3" x14ac:dyDescent="0.2">
      <c r="A56">
        <v>10803</v>
      </c>
      <c r="B56">
        <v>1</v>
      </c>
      <c r="C56">
        <v>-21.392413793103447</v>
      </c>
    </row>
    <row r="57" spans="1:3" x14ac:dyDescent="0.2">
      <c r="A57">
        <v>10804</v>
      </c>
      <c r="B57">
        <v>1</v>
      </c>
      <c r="C57">
        <v>-17.552413793103447</v>
      </c>
    </row>
    <row r="58" spans="1:3" x14ac:dyDescent="0.2">
      <c r="A58">
        <v>10806</v>
      </c>
      <c r="B58">
        <v>1</v>
      </c>
      <c r="C58">
        <v>-16.062413793103449</v>
      </c>
    </row>
    <row r="59" spans="1:3" x14ac:dyDescent="0.2">
      <c r="A59">
        <v>10807</v>
      </c>
      <c r="B59">
        <v>1</v>
      </c>
      <c r="C59">
        <v>14.99758620689655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25D7D-1C2C-2841-8BCD-62DD4973A51C}">
  <dimension ref="A1:E59"/>
  <sheetViews>
    <sheetView workbookViewId="0">
      <selection activeCell="G16" sqref="G16"/>
    </sheetView>
  </sheetViews>
  <sheetFormatPr baseColWidth="10" defaultRowHeight="16" x14ac:dyDescent="0.2"/>
  <sheetData>
    <row r="1" spans="1:5" x14ac:dyDescent="0.2">
      <c r="A1" t="s">
        <v>1</v>
      </c>
      <c r="B1" t="s">
        <v>150</v>
      </c>
      <c r="C1" t="s">
        <v>148</v>
      </c>
      <c r="D1" t="s">
        <v>147</v>
      </c>
      <c r="E1" t="s">
        <v>152</v>
      </c>
    </row>
    <row r="2" spans="1:5" x14ac:dyDescent="0.2">
      <c r="A2">
        <v>10369</v>
      </c>
      <c r="B2">
        <v>1</v>
      </c>
      <c r="C2">
        <v>-11.102413793103448</v>
      </c>
      <c r="D2">
        <v>-0.37931034482758585</v>
      </c>
      <c r="E2">
        <v>4.2112604042806145</v>
      </c>
    </row>
    <row r="3" spans="1:5" x14ac:dyDescent="0.2">
      <c r="A3">
        <v>10402</v>
      </c>
      <c r="B3">
        <v>1</v>
      </c>
      <c r="C3">
        <v>-7.1124137931034497</v>
      </c>
      <c r="D3">
        <v>-0.27931034482758621</v>
      </c>
      <c r="E3">
        <v>1.986570749108205</v>
      </c>
    </row>
    <row r="4" spans="1:5" x14ac:dyDescent="0.2">
      <c r="A4">
        <v>10418</v>
      </c>
      <c r="B4">
        <v>1</v>
      </c>
      <c r="C4">
        <v>25.587586206896553</v>
      </c>
      <c r="D4">
        <v>-0.47931034482758594</v>
      </c>
      <c r="E4">
        <v>-12.264394768133169</v>
      </c>
    </row>
    <row r="5" spans="1:5" x14ac:dyDescent="0.2">
      <c r="A5">
        <v>10462</v>
      </c>
      <c r="B5">
        <v>1</v>
      </c>
      <c r="C5">
        <v>18.987586206896552</v>
      </c>
      <c r="D5">
        <v>0.12068965517241415</v>
      </c>
      <c r="E5">
        <v>2.2916052318668321</v>
      </c>
    </row>
    <row r="6" spans="1:5" x14ac:dyDescent="0.2">
      <c r="A6">
        <v>10478</v>
      </c>
      <c r="B6">
        <v>1</v>
      </c>
      <c r="C6">
        <v>-15.152413793103449</v>
      </c>
      <c r="D6">
        <v>0.52068965517241406</v>
      </c>
      <c r="E6">
        <v>-7.8897051129607654</v>
      </c>
    </row>
    <row r="7" spans="1:5" x14ac:dyDescent="0.2">
      <c r="A7" s="2">
        <v>10486</v>
      </c>
      <c r="B7">
        <v>1</v>
      </c>
      <c r="C7">
        <v>-1.1424137931034508</v>
      </c>
      <c r="D7">
        <v>-7.9310344827586032E-2</v>
      </c>
      <c r="E7">
        <v>9.0605231866825203E-2</v>
      </c>
    </row>
    <row r="8" spans="1:5" x14ac:dyDescent="0.2">
      <c r="A8">
        <v>10529</v>
      </c>
      <c r="B8">
        <v>1</v>
      </c>
      <c r="C8">
        <v>24.74758620689655</v>
      </c>
      <c r="D8">
        <v>-0.47931034482758594</v>
      </c>
      <c r="E8">
        <v>-11.861774078477994</v>
      </c>
    </row>
    <row r="9" spans="1:5" x14ac:dyDescent="0.2">
      <c r="A9">
        <v>10541</v>
      </c>
      <c r="B9">
        <v>1</v>
      </c>
      <c r="C9">
        <v>26.107586206896549</v>
      </c>
      <c r="D9">
        <v>-0.27931034482758621</v>
      </c>
      <c r="E9">
        <v>-7.2921189060642089</v>
      </c>
    </row>
    <row r="10" spans="1:5" x14ac:dyDescent="0.2">
      <c r="A10" s="2">
        <v>10572</v>
      </c>
      <c r="B10">
        <v>1</v>
      </c>
      <c r="C10">
        <v>27.407586206896546</v>
      </c>
      <c r="D10">
        <v>-0.47931034482758594</v>
      </c>
      <c r="E10">
        <v>-13.136739595719371</v>
      </c>
    </row>
    <row r="11" spans="1:5" x14ac:dyDescent="0.2">
      <c r="A11">
        <v>10581</v>
      </c>
      <c r="B11">
        <v>1</v>
      </c>
      <c r="C11">
        <v>4.9775862068965537</v>
      </c>
      <c r="D11">
        <v>-0.17931034482758612</v>
      </c>
      <c r="E11">
        <v>-0.89253269916765754</v>
      </c>
    </row>
    <row r="12" spans="1:5" x14ac:dyDescent="0.2">
      <c r="A12">
        <v>10584</v>
      </c>
      <c r="B12">
        <v>1</v>
      </c>
      <c r="C12">
        <v>6.5875862068965532</v>
      </c>
      <c r="D12">
        <v>-7.9310344827586032E-2</v>
      </c>
      <c r="E12">
        <v>-0.5224637336504151</v>
      </c>
    </row>
    <row r="13" spans="1:5" x14ac:dyDescent="0.2">
      <c r="A13" s="2">
        <v>10585</v>
      </c>
      <c r="B13">
        <v>1</v>
      </c>
      <c r="C13">
        <v>20.277586206896551</v>
      </c>
      <c r="D13">
        <v>-7.9310344827586032E-2</v>
      </c>
      <c r="E13">
        <v>-1.6082223543400678</v>
      </c>
    </row>
    <row r="14" spans="1:5" x14ac:dyDescent="0.2">
      <c r="A14">
        <v>10589</v>
      </c>
      <c r="B14">
        <v>1</v>
      </c>
      <c r="C14">
        <v>-8.18241379310345</v>
      </c>
      <c r="D14">
        <v>0.82068965517241388</v>
      </c>
      <c r="E14">
        <v>-6.7152223543400735</v>
      </c>
    </row>
    <row r="15" spans="1:5" x14ac:dyDescent="0.2">
      <c r="A15">
        <v>10590</v>
      </c>
      <c r="B15">
        <v>1</v>
      </c>
      <c r="C15">
        <v>13.347586206896551</v>
      </c>
      <c r="D15">
        <v>-0.17931034482758612</v>
      </c>
      <c r="E15">
        <v>-2.3933602853745528</v>
      </c>
    </row>
    <row r="16" spans="1:5" x14ac:dyDescent="0.2">
      <c r="A16">
        <v>10596</v>
      </c>
      <c r="B16">
        <v>1</v>
      </c>
      <c r="C16">
        <v>-15.782413793103448</v>
      </c>
      <c r="D16">
        <v>0.52068965517241406</v>
      </c>
      <c r="E16">
        <v>-8.2177395957193848</v>
      </c>
    </row>
    <row r="17" spans="1:5" x14ac:dyDescent="0.2">
      <c r="A17">
        <v>10603</v>
      </c>
      <c r="B17">
        <v>1</v>
      </c>
      <c r="C17">
        <v>26.167586206896551</v>
      </c>
      <c r="D17">
        <v>-0.67931034482758612</v>
      </c>
      <c r="E17">
        <v>-17.775912009512481</v>
      </c>
    </row>
    <row r="18" spans="1:5" x14ac:dyDescent="0.2">
      <c r="A18">
        <v>10606</v>
      </c>
      <c r="B18">
        <v>1</v>
      </c>
      <c r="C18">
        <v>-20.652413793103449</v>
      </c>
      <c r="D18">
        <v>0.12068965517241415</v>
      </c>
      <c r="E18">
        <v>-2.4925326991676648</v>
      </c>
    </row>
    <row r="19" spans="1:5" x14ac:dyDescent="0.2">
      <c r="A19">
        <v>10608</v>
      </c>
      <c r="B19">
        <v>1</v>
      </c>
      <c r="C19">
        <v>-13.982413793103447</v>
      </c>
      <c r="D19">
        <v>-0.17931034482758612</v>
      </c>
      <c r="E19">
        <v>2.5071914387633756</v>
      </c>
    </row>
    <row r="20" spans="1:5" x14ac:dyDescent="0.2">
      <c r="A20">
        <v>10617</v>
      </c>
      <c r="B20">
        <v>1</v>
      </c>
      <c r="C20">
        <v>30.347586206896558</v>
      </c>
      <c r="D20">
        <v>-0.27931034482758621</v>
      </c>
      <c r="E20">
        <v>-8.4763947681331775</v>
      </c>
    </row>
    <row r="21" spans="1:5" x14ac:dyDescent="0.2">
      <c r="A21">
        <v>10636</v>
      </c>
      <c r="B21">
        <v>1</v>
      </c>
      <c r="C21">
        <v>-16.242413793103449</v>
      </c>
      <c r="D21">
        <v>1.2206896551724138</v>
      </c>
      <c r="E21">
        <v>-19.826946492271105</v>
      </c>
    </row>
    <row r="22" spans="1:5" x14ac:dyDescent="0.2">
      <c r="A22">
        <v>10638</v>
      </c>
      <c r="B22">
        <v>1</v>
      </c>
      <c r="C22">
        <v>28.777586206896551</v>
      </c>
      <c r="D22">
        <v>-7.9310344827586032E-2</v>
      </c>
      <c r="E22">
        <v>-2.282360285374549</v>
      </c>
    </row>
    <row r="23" spans="1:5" x14ac:dyDescent="0.2">
      <c r="A23">
        <v>10640</v>
      </c>
      <c r="B23">
        <v>1</v>
      </c>
      <c r="C23">
        <v>-11.322413793103447</v>
      </c>
      <c r="D23">
        <v>0.22068965517241379</v>
      </c>
      <c r="E23">
        <v>-2.4987395957193814</v>
      </c>
    </row>
    <row r="24" spans="1:5" x14ac:dyDescent="0.2">
      <c r="A24">
        <v>10641</v>
      </c>
      <c r="B24">
        <v>1</v>
      </c>
      <c r="C24">
        <v>1.6275862068965523</v>
      </c>
      <c r="D24">
        <v>-0.57931034482758603</v>
      </c>
      <c r="E24">
        <v>-0.94287752675386449</v>
      </c>
    </row>
    <row r="25" spans="1:5" x14ac:dyDescent="0.2">
      <c r="A25">
        <v>10642</v>
      </c>
      <c r="B25">
        <v>1</v>
      </c>
      <c r="C25">
        <v>-11.152413793103449</v>
      </c>
      <c r="D25">
        <v>-0.47931034482758594</v>
      </c>
      <c r="E25">
        <v>5.3454673008323397</v>
      </c>
    </row>
    <row r="26" spans="1:5" x14ac:dyDescent="0.2">
      <c r="A26">
        <v>10644</v>
      </c>
      <c r="B26">
        <v>1</v>
      </c>
      <c r="C26">
        <v>26.357586206896549</v>
      </c>
      <c r="D26">
        <v>-7.9310344827586032E-2</v>
      </c>
      <c r="E26">
        <v>-2.0904292508917908</v>
      </c>
    </row>
    <row r="27" spans="1:5" x14ac:dyDescent="0.2">
      <c r="A27">
        <v>10647</v>
      </c>
      <c r="B27">
        <v>1</v>
      </c>
      <c r="C27">
        <v>-18.462413793103448</v>
      </c>
      <c r="D27">
        <v>0.22068965517241379</v>
      </c>
      <c r="E27">
        <v>-4.0744637336504157</v>
      </c>
    </row>
    <row r="28" spans="1:5" x14ac:dyDescent="0.2">
      <c r="A28">
        <v>10649</v>
      </c>
      <c r="B28">
        <v>1</v>
      </c>
      <c r="C28">
        <v>20.74758620689655</v>
      </c>
      <c r="D28">
        <v>0.62068965517241415</v>
      </c>
      <c r="E28">
        <v>12.877812128418556</v>
      </c>
    </row>
    <row r="29" spans="1:5" x14ac:dyDescent="0.2">
      <c r="A29">
        <v>10652</v>
      </c>
      <c r="B29">
        <v>1</v>
      </c>
      <c r="C29">
        <v>26.99758620689655</v>
      </c>
      <c r="D29">
        <v>-7.9310344827586032E-2</v>
      </c>
      <c r="E29">
        <v>-2.1411878715814456</v>
      </c>
    </row>
    <row r="30" spans="1:5" x14ac:dyDescent="0.2">
      <c r="A30">
        <v>10656</v>
      </c>
      <c r="B30">
        <v>1</v>
      </c>
      <c r="C30">
        <v>-21.622413793103448</v>
      </c>
      <c r="D30">
        <v>-0.27931034482758621</v>
      </c>
      <c r="E30">
        <v>6.0393638525564803</v>
      </c>
    </row>
    <row r="31" spans="1:5" x14ac:dyDescent="0.2">
      <c r="A31">
        <v>10657</v>
      </c>
      <c r="B31">
        <v>1</v>
      </c>
      <c r="C31">
        <v>15.927586206896549</v>
      </c>
      <c r="D31">
        <v>-0.77931034482758621</v>
      </c>
      <c r="E31">
        <v>-12.412532699167656</v>
      </c>
    </row>
    <row r="32" spans="1:5" x14ac:dyDescent="0.2">
      <c r="A32">
        <v>10659</v>
      </c>
      <c r="B32">
        <v>1</v>
      </c>
      <c r="C32">
        <v>19.337586206896553</v>
      </c>
      <c r="D32">
        <v>0.72068965517241379</v>
      </c>
      <c r="E32">
        <v>13.936398335315102</v>
      </c>
    </row>
    <row r="33" spans="1:5" x14ac:dyDescent="0.2">
      <c r="A33">
        <v>10663</v>
      </c>
      <c r="B33">
        <v>1</v>
      </c>
      <c r="C33">
        <v>-20.982413793103447</v>
      </c>
      <c r="D33">
        <v>1.2206896551724138</v>
      </c>
      <c r="E33">
        <v>-25.613015457788347</v>
      </c>
    </row>
    <row r="34" spans="1:5" x14ac:dyDescent="0.2">
      <c r="A34">
        <v>10673</v>
      </c>
      <c r="B34">
        <v>1</v>
      </c>
      <c r="C34">
        <v>5.547586206896554</v>
      </c>
      <c r="D34">
        <v>0.62068965517241415</v>
      </c>
      <c r="E34">
        <v>3.4433293697978629</v>
      </c>
    </row>
    <row r="35" spans="1:5" x14ac:dyDescent="0.2">
      <c r="A35">
        <v>10674</v>
      </c>
      <c r="B35">
        <v>1</v>
      </c>
      <c r="C35">
        <v>-9.8524137931034446</v>
      </c>
      <c r="D35">
        <v>-0.57931034482758603</v>
      </c>
      <c r="E35">
        <v>5.7076052318668209</v>
      </c>
    </row>
    <row r="36" spans="1:5" x14ac:dyDescent="0.2">
      <c r="A36">
        <v>10677</v>
      </c>
      <c r="B36">
        <v>1</v>
      </c>
      <c r="C36">
        <v>-9.68241379310345</v>
      </c>
      <c r="D36">
        <v>-0.67931034482758612</v>
      </c>
      <c r="E36">
        <v>6.5773638525564806</v>
      </c>
    </row>
    <row r="37" spans="1:5" x14ac:dyDescent="0.2">
      <c r="A37">
        <v>10685</v>
      </c>
      <c r="B37">
        <v>1</v>
      </c>
      <c r="C37">
        <v>-8.6224137931034477</v>
      </c>
      <c r="D37">
        <v>0.32068965517241388</v>
      </c>
      <c r="E37">
        <v>-2.7651189060642096</v>
      </c>
    </row>
    <row r="38" spans="1:5" x14ac:dyDescent="0.2">
      <c r="A38">
        <v>10691</v>
      </c>
      <c r="B38">
        <v>1</v>
      </c>
      <c r="C38">
        <v>15.217586206896556</v>
      </c>
      <c r="D38">
        <v>0.22068965517241379</v>
      </c>
      <c r="E38">
        <v>3.3583638525564812</v>
      </c>
    </row>
    <row r="39" spans="1:5" x14ac:dyDescent="0.2">
      <c r="A39">
        <v>10700</v>
      </c>
      <c r="B39">
        <v>1</v>
      </c>
      <c r="C39">
        <v>-19.442413793103448</v>
      </c>
      <c r="D39">
        <v>0.42068965517241397</v>
      </c>
      <c r="E39">
        <v>-8.1792223543400748</v>
      </c>
    </row>
    <row r="40" spans="1:5" x14ac:dyDescent="0.2">
      <c r="A40">
        <v>10701</v>
      </c>
      <c r="B40">
        <v>1</v>
      </c>
      <c r="C40">
        <v>-16.032413793103448</v>
      </c>
      <c r="D40">
        <v>0.42068965517241397</v>
      </c>
      <c r="E40">
        <v>-6.7446706302021431</v>
      </c>
    </row>
    <row r="41" spans="1:5" x14ac:dyDescent="0.2">
      <c r="A41">
        <v>10718</v>
      </c>
      <c r="B41">
        <v>1</v>
      </c>
      <c r="C41">
        <v>-14.752413793103447</v>
      </c>
      <c r="D41">
        <v>-0.47931034482758594</v>
      </c>
      <c r="E41">
        <v>7.0709845422116482</v>
      </c>
    </row>
    <row r="42" spans="1:5" x14ac:dyDescent="0.2">
      <c r="A42">
        <v>10720</v>
      </c>
      <c r="B42">
        <v>1</v>
      </c>
      <c r="C42">
        <v>-9.6124137931034497</v>
      </c>
      <c r="D42">
        <v>0.22068965517241379</v>
      </c>
      <c r="E42">
        <v>-2.1213602853745543</v>
      </c>
    </row>
    <row r="43" spans="1:5" x14ac:dyDescent="0.2">
      <c r="A43">
        <v>10723</v>
      </c>
      <c r="B43">
        <v>1</v>
      </c>
      <c r="C43">
        <v>-21.352413793103448</v>
      </c>
      <c r="D43">
        <v>-7.9310344827586032E-2</v>
      </c>
      <c r="E43">
        <v>1.6934673008323387</v>
      </c>
    </row>
    <row r="44" spans="1:5" x14ac:dyDescent="0.2">
      <c r="A44">
        <v>10741</v>
      </c>
      <c r="B44">
        <v>1</v>
      </c>
      <c r="C44">
        <v>-6.1224137931034477</v>
      </c>
      <c r="D44">
        <v>0.72068965517241379</v>
      </c>
      <c r="E44">
        <v>-4.4123602853745538</v>
      </c>
    </row>
    <row r="45" spans="1:5" x14ac:dyDescent="0.2">
      <c r="A45">
        <v>10748</v>
      </c>
      <c r="B45">
        <v>1</v>
      </c>
      <c r="C45">
        <v>-9.7524137931034502</v>
      </c>
      <c r="D45">
        <v>-1.079310344827586</v>
      </c>
      <c r="E45">
        <v>10.525881093935791</v>
      </c>
    </row>
    <row r="46" spans="1:5" x14ac:dyDescent="0.2">
      <c r="A46">
        <v>10767</v>
      </c>
      <c r="B46">
        <v>1</v>
      </c>
      <c r="C46">
        <v>-17.542413793103446</v>
      </c>
      <c r="D46">
        <v>0.42068965517241397</v>
      </c>
      <c r="E46">
        <v>-7.3799120095124868</v>
      </c>
    </row>
    <row r="47" spans="1:5" x14ac:dyDescent="0.2">
      <c r="A47">
        <v>10774</v>
      </c>
      <c r="B47">
        <v>1</v>
      </c>
      <c r="C47">
        <v>2.9475862068965526</v>
      </c>
      <c r="D47">
        <v>-1.1793103448275861</v>
      </c>
      <c r="E47">
        <v>-3.4761189060642099</v>
      </c>
    </row>
    <row r="48" spans="1:5" x14ac:dyDescent="0.2">
      <c r="A48">
        <v>10777</v>
      </c>
      <c r="B48">
        <v>1</v>
      </c>
      <c r="C48">
        <v>-4.692413793103448</v>
      </c>
      <c r="D48">
        <v>0.72068965517241379</v>
      </c>
      <c r="E48">
        <v>-3.3817740784780019</v>
      </c>
    </row>
    <row r="49" spans="1:5" x14ac:dyDescent="0.2">
      <c r="A49">
        <v>10781</v>
      </c>
      <c r="B49">
        <v>1</v>
      </c>
      <c r="C49">
        <v>-5.5224137931034463</v>
      </c>
      <c r="D49">
        <v>1.2206896551724138</v>
      </c>
      <c r="E49">
        <v>-6.7411533888228279</v>
      </c>
    </row>
    <row r="50" spans="1:5" x14ac:dyDescent="0.2">
      <c r="A50">
        <v>10783</v>
      </c>
      <c r="B50">
        <v>1</v>
      </c>
      <c r="C50">
        <v>8.1275862068965523</v>
      </c>
      <c r="D50">
        <v>0.32068965517241388</v>
      </c>
      <c r="E50">
        <v>2.6064328180737228</v>
      </c>
    </row>
    <row r="51" spans="1:5" x14ac:dyDescent="0.2">
      <c r="A51">
        <v>10785</v>
      </c>
      <c r="B51">
        <v>1</v>
      </c>
      <c r="C51">
        <v>18.177586206896549</v>
      </c>
      <c r="D51">
        <v>-0.17931034482758612</v>
      </c>
      <c r="E51">
        <v>-3.2594292508917935</v>
      </c>
    </row>
    <row r="52" spans="1:5" x14ac:dyDescent="0.2">
      <c r="A52">
        <v>10794</v>
      </c>
      <c r="B52">
        <v>1</v>
      </c>
      <c r="C52">
        <v>-3.3624137931034497</v>
      </c>
      <c r="D52">
        <v>-7.9310344827586032E-2</v>
      </c>
      <c r="E52">
        <v>0.26667419738406611</v>
      </c>
    </row>
    <row r="53" spans="1:5" x14ac:dyDescent="0.2">
      <c r="A53">
        <v>10800</v>
      </c>
      <c r="B53">
        <v>1</v>
      </c>
      <c r="C53">
        <v>-16.202413793103446</v>
      </c>
      <c r="D53">
        <v>0.42068965517241397</v>
      </c>
      <c r="E53">
        <v>-6.8161878715814526</v>
      </c>
    </row>
    <row r="54" spans="1:5" x14ac:dyDescent="0.2">
      <c r="A54">
        <v>10801</v>
      </c>
      <c r="B54">
        <v>1</v>
      </c>
      <c r="C54">
        <v>-8.5224137931034463</v>
      </c>
      <c r="D54">
        <v>0.32068965517241388</v>
      </c>
      <c r="E54">
        <v>-2.7330499405469681</v>
      </c>
    </row>
    <row r="55" spans="1:5" x14ac:dyDescent="0.2">
      <c r="A55">
        <v>10802</v>
      </c>
      <c r="B55">
        <v>1</v>
      </c>
      <c r="C55">
        <v>-0.36241379310344968</v>
      </c>
      <c r="D55">
        <v>0.12068965517241415</v>
      </c>
      <c r="E55">
        <v>-4.3739595719381984E-2</v>
      </c>
    </row>
    <row r="56" spans="1:5" x14ac:dyDescent="0.2">
      <c r="A56">
        <v>10803</v>
      </c>
      <c r="B56">
        <v>1</v>
      </c>
      <c r="C56">
        <v>-21.392413793103447</v>
      </c>
      <c r="D56">
        <v>-0.37931034482758585</v>
      </c>
      <c r="E56">
        <v>8.1143638525564725</v>
      </c>
    </row>
    <row r="57" spans="1:5" x14ac:dyDescent="0.2">
      <c r="A57">
        <v>10804</v>
      </c>
      <c r="B57">
        <v>1</v>
      </c>
      <c r="C57">
        <v>-17.552413793103447</v>
      </c>
      <c r="D57">
        <v>-7.9310344827586032E-2</v>
      </c>
      <c r="E57">
        <v>1.3920879904875116</v>
      </c>
    </row>
    <row r="58" spans="1:5" x14ac:dyDescent="0.2">
      <c r="A58">
        <v>10806</v>
      </c>
      <c r="B58">
        <v>1</v>
      </c>
      <c r="C58">
        <v>-16.062413793103449</v>
      </c>
      <c r="D58">
        <v>-0.67931034482758612</v>
      </c>
      <c r="E58">
        <v>10.91136385255648</v>
      </c>
    </row>
    <row r="59" spans="1:5" x14ac:dyDescent="0.2">
      <c r="A59">
        <v>10807</v>
      </c>
      <c r="B59">
        <v>1</v>
      </c>
      <c r="C59">
        <v>14.99758620689655</v>
      </c>
      <c r="D59">
        <v>-0.87931034482758585</v>
      </c>
      <c r="E59">
        <v>-13.187532699167651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6968A-4D52-1D45-883E-8A7757D80093}">
  <dimension ref="A1:E59"/>
  <sheetViews>
    <sheetView workbookViewId="0">
      <selection activeCell="E2" sqref="E2:E59"/>
    </sheetView>
  </sheetViews>
  <sheetFormatPr baseColWidth="10" defaultRowHeight="16" x14ac:dyDescent="0.2"/>
  <sheetData>
    <row r="1" spans="1:5" x14ac:dyDescent="0.2">
      <c r="A1" t="s">
        <v>1</v>
      </c>
      <c r="B1" t="s">
        <v>150</v>
      </c>
      <c r="C1" t="s">
        <v>148</v>
      </c>
      <c r="D1" t="s">
        <v>151</v>
      </c>
      <c r="E1" t="s">
        <v>158</v>
      </c>
    </row>
    <row r="2" spans="1:5" x14ac:dyDescent="0.2">
      <c r="A2">
        <v>10369</v>
      </c>
      <c r="B2">
        <v>1</v>
      </c>
      <c r="C2">
        <v>-11.102413793103448</v>
      </c>
      <c r="D2">
        <v>-7.431034482758621</v>
      </c>
      <c r="E2">
        <v>82.502419738406658</v>
      </c>
    </row>
    <row r="3" spans="1:5" x14ac:dyDescent="0.2">
      <c r="A3">
        <v>10402</v>
      </c>
      <c r="B3">
        <v>1</v>
      </c>
      <c r="C3">
        <v>-7.1124137931034497</v>
      </c>
      <c r="D3">
        <v>-5.431034482758621</v>
      </c>
      <c r="E3">
        <v>38.627764565992877</v>
      </c>
    </row>
    <row r="4" spans="1:5" x14ac:dyDescent="0.2">
      <c r="A4">
        <v>10418</v>
      </c>
      <c r="B4">
        <v>1</v>
      </c>
      <c r="C4">
        <v>25.587586206896553</v>
      </c>
      <c r="D4">
        <v>-7.431034482758621</v>
      </c>
      <c r="E4">
        <v>-190.14223543400715</v>
      </c>
    </row>
    <row r="5" spans="1:5" x14ac:dyDescent="0.2">
      <c r="A5">
        <v>10462</v>
      </c>
      <c r="B5">
        <v>1</v>
      </c>
      <c r="C5">
        <v>18.987586206896552</v>
      </c>
      <c r="D5">
        <v>-7.431034482758621</v>
      </c>
      <c r="E5">
        <v>-141.09740784780024</v>
      </c>
    </row>
    <row r="6" spans="1:5" x14ac:dyDescent="0.2">
      <c r="A6">
        <v>10478</v>
      </c>
      <c r="B6">
        <v>1</v>
      </c>
      <c r="C6">
        <v>-15.152413793103449</v>
      </c>
      <c r="D6">
        <v>3.568965517241379</v>
      </c>
      <c r="E6">
        <v>-54.078442330558858</v>
      </c>
    </row>
    <row r="7" spans="1:5" x14ac:dyDescent="0.2">
      <c r="A7" s="2">
        <v>10486</v>
      </c>
      <c r="B7">
        <v>1</v>
      </c>
      <c r="C7">
        <v>-1.1424137931034508</v>
      </c>
      <c r="D7">
        <v>11.568965517241379</v>
      </c>
      <c r="E7">
        <v>-13.21654577883475</v>
      </c>
    </row>
    <row r="8" spans="1:5" x14ac:dyDescent="0.2">
      <c r="A8">
        <v>10529</v>
      </c>
      <c r="B8">
        <v>1</v>
      </c>
      <c r="C8">
        <v>24.74758620689655</v>
      </c>
      <c r="D8">
        <v>-3.431034482758621</v>
      </c>
      <c r="E8">
        <v>-84.909821640903687</v>
      </c>
    </row>
    <row r="9" spans="1:5" x14ac:dyDescent="0.2">
      <c r="A9">
        <v>10541</v>
      </c>
      <c r="B9">
        <v>1</v>
      </c>
      <c r="C9">
        <v>26.107586206896549</v>
      </c>
      <c r="D9">
        <v>1.568965517241379</v>
      </c>
      <c r="E9">
        <v>40.961902497027339</v>
      </c>
    </row>
    <row r="10" spans="1:5" x14ac:dyDescent="0.2">
      <c r="A10" s="2">
        <v>10572</v>
      </c>
      <c r="B10">
        <v>1</v>
      </c>
      <c r="C10">
        <v>27.407586206896546</v>
      </c>
      <c r="D10">
        <v>-7.431034482758621</v>
      </c>
      <c r="E10">
        <v>-203.6667181926278</v>
      </c>
    </row>
    <row r="11" spans="1:5" x14ac:dyDescent="0.2">
      <c r="A11">
        <v>10581</v>
      </c>
      <c r="B11">
        <v>1</v>
      </c>
      <c r="C11">
        <v>4.9775862068965537</v>
      </c>
      <c r="D11">
        <v>0.568965517241379</v>
      </c>
      <c r="E11">
        <v>2.8320749108204515</v>
      </c>
    </row>
    <row r="12" spans="1:5" x14ac:dyDescent="0.2">
      <c r="A12">
        <v>10584</v>
      </c>
      <c r="B12">
        <v>1</v>
      </c>
      <c r="C12">
        <v>6.5875862068965532</v>
      </c>
      <c r="D12">
        <v>-7.431034482758621</v>
      </c>
      <c r="E12">
        <v>-48.952580261593354</v>
      </c>
    </row>
    <row r="13" spans="1:5" x14ac:dyDescent="0.2">
      <c r="A13" s="2">
        <v>10585</v>
      </c>
      <c r="B13">
        <v>1</v>
      </c>
      <c r="C13">
        <v>20.277586206896551</v>
      </c>
      <c r="D13">
        <v>0.568965517241379</v>
      </c>
      <c r="E13">
        <v>11.537247324613549</v>
      </c>
    </row>
    <row r="14" spans="1:5" x14ac:dyDescent="0.2">
      <c r="A14">
        <v>10589</v>
      </c>
      <c r="B14">
        <v>1</v>
      </c>
      <c r="C14">
        <v>-8.18241379310345</v>
      </c>
      <c r="D14">
        <v>-5.431034482758621</v>
      </c>
      <c r="E14">
        <v>44.4389714625446</v>
      </c>
    </row>
    <row r="15" spans="1:5" x14ac:dyDescent="0.2">
      <c r="A15">
        <v>10590</v>
      </c>
      <c r="B15">
        <v>1</v>
      </c>
      <c r="C15">
        <v>13.347586206896551</v>
      </c>
      <c r="D15">
        <v>-7.431034482758621</v>
      </c>
      <c r="E15">
        <v>-99.186373365041618</v>
      </c>
    </row>
    <row r="16" spans="1:5" x14ac:dyDescent="0.2">
      <c r="A16">
        <v>10596</v>
      </c>
      <c r="B16">
        <v>1</v>
      </c>
      <c r="C16">
        <v>-15.782413793103448</v>
      </c>
      <c r="D16">
        <v>5.568965517241379</v>
      </c>
      <c r="E16">
        <v>-87.89171819262782</v>
      </c>
    </row>
    <row r="17" spans="1:5" x14ac:dyDescent="0.2">
      <c r="A17">
        <v>10603</v>
      </c>
      <c r="B17">
        <v>1</v>
      </c>
      <c r="C17">
        <v>26.167586206896551</v>
      </c>
      <c r="D17">
        <v>-7.431034482758621</v>
      </c>
      <c r="E17">
        <v>-194.45223543400715</v>
      </c>
    </row>
    <row r="18" spans="1:5" x14ac:dyDescent="0.2">
      <c r="A18">
        <v>10606</v>
      </c>
      <c r="B18">
        <v>1</v>
      </c>
      <c r="C18">
        <v>-20.652413793103449</v>
      </c>
      <c r="D18">
        <v>-7.431034482758621</v>
      </c>
      <c r="E18">
        <v>153.46879904875149</v>
      </c>
    </row>
    <row r="19" spans="1:5" x14ac:dyDescent="0.2">
      <c r="A19">
        <v>10608</v>
      </c>
      <c r="B19">
        <v>1</v>
      </c>
      <c r="C19">
        <v>-13.982413793103447</v>
      </c>
      <c r="D19">
        <v>-7.431034482758621</v>
      </c>
      <c r="E19">
        <v>103.90379904875148</v>
      </c>
    </row>
    <row r="20" spans="1:5" x14ac:dyDescent="0.2">
      <c r="A20">
        <v>10617</v>
      </c>
      <c r="B20">
        <v>1</v>
      </c>
      <c r="C20">
        <v>30.347586206896558</v>
      </c>
      <c r="D20">
        <v>-7.431034482758621</v>
      </c>
      <c r="E20">
        <v>-225.51395957193822</v>
      </c>
    </row>
    <row r="21" spans="1:5" x14ac:dyDescent="0.2">
      <c r="A21">
        <v>10636</v>
      </c>
      <c r="B21">
        <v>1</v>
      </c>
      <c r="C21">
        <v>-16.242413793103449</v>
      </c>
      <c r="D21">
        <v>-3.431034482758621</v>
      </c>
      <c r="E21">
        <v>55.728281807372184</v>
      </c>
    </row>
    <row r="22" spans="1:5" x14ac:dyDescent="0.2">
      <c r="A22">
        <v>10638</v>
      </c>
      <c r="B22">
        <v>1</v>
      </c>
      <c r="C22">
        <v>28.777586206896551</v>
      </c>
      <c r="D22">
        <v>0.568965517241379</v>
      </c>
      <c r="E22">
        <v>16.373454221165272</v>
      </c>
    </row>
    <row r="23" spans="1:5" x14ac:dyDescent="0.2">
      <c r="A23">
        <v>10640</v>
      </c>
      <c r="B23">
        <v>1</v>
      </c>
      <c r="C23">
        <v>-11.322413793103447</v>
      </c>
      <c r="D23">
        <v>0.568965517241379</v>
      </c>
      <c r="E23">
        <v>-6.442063020214027</v>
      </c>
    </row>
    <row r="24" spans="1:5" x14ac:dyDescent="0.2">
      <c r="A24">
        <v>10641</v>
      </c>
      <c r="B24">
        <v>1</v>
      </c>
      <c r="C24">
        <v>1.6275862068965523</v>
      </c>
      <c r="D24">
        <v>8.568965517241379</v>
      </c>
      <c r="E24">
        <v>13.94673008323425</v>
      </c>
    </row>
    <row r="25" spans="1:5" x14ac:dyDescent="0.2">
      <c r="A25">
        <v>10642</v>
      </c>
      <c r="B25">
        <v>1</v>
      </c>
      <c r="C25">
        <v>-11.152413793103449</v>
      </c>
      <c r="D25">
        <v>6.568965517241379</v>
      </c>
      <c r="E25">
        <v>-73.259821640903681</v>
      </c>
    </row>
    <row r="26" spans="1:5" x14ac:dyDescent="0.2">
      <c r="A26">
        <v>10644</v>
      </c>
      <c r="B26">
        <v>1</v>
      </c>
      <c r="C26">
        <v>26.357586206896549</v>
      </c>
      <c r="D26">
        <v>-4.431034482758621</v>
      </c>
      <c r="E26">
        <v>-116.79137336504161</v>
      </c>
    </row>
    <row r="27" spans="1:5" x14ac:dyDescent="0.2">
      <c r="A27">
        <v>10647</v>
      </c>
      <c r="B27">
        <v>1</v>
      </c>
      <c r="C27">
        <v>-18.462413793103448</v>
      </c>
      <c r="D27">
        <v>-1.431034482758621</v>
      </c>
      <c r="E27">
        <v>26.420350772889421</v>
      </c>
    </row>
    <row r="28" spans="1:5" x14ac:dyDescent="0.2">
      <c r="A28">
        <v>10649</v>
      </c>
      <c r="B28">
        <v>1</v>
      </c>
      <c r="C28">
        <v>20.74758620689655</v>
      </c>
      <c r="D28">
        <v>-3.431034482758621</v>
      </c>
      <c r="E28">
        <v>-71.18568370986921</v>
      </c>
    </row>
    <row r="29" spans="1:5" x14ac:dyDescent="0.2">
      <c r="A29">
        <v>10652</v>
      </c>
      <c r="B29">
        <v>1</v>
      </c>
      <c r="C29">
        <v>26.99758620689655</v>
      </c>
      <c r="D29">
        <v>-7.431034482758621</v>
      </c>
      <c r="E29">
        <v>-200.61999405469678</v>
      </c>
    </row>
    <row r="30" spans="1:5" x14ac:dyDescent="0.2">
      <c r="A30">
        <v>10656</v>
      </c>
      <c r="B30">
        <v>1</v>
      </c>
      <c r="C30">
        <v>-21.622413793103448</v>
      </c>
      <c r="D30">
        <v>4.568965517241379</v>
      </c>
      <c r="E30">
        <v>-98.792063020214016</v>
      </c>
    </row>
    <row r="31" spans="1:5" x14ac:dyDescent="0.2">
      <c r="A31">
        <v>10657</v>
      </c>
      <c r="B31">
        <v>1</v>
      </c>
      <c r="C31">
        <v>15.927586206896549</v>
      </c>
      <c r="D31">
        <v>2.568965517241379</v>
      </c>
      <c r="E31">
        <v>40.91741973840665</v>
      </c>
    </row>
    <row r="32" spans="1:5" x14ac:dyDescent="0.2">
      <c r="A32">
        <v>10659</v>
      </c>
      <c r="B32">
        <v>1</v>
      </c>
      <c r="C32">
        <v>19.337586206896553</v>
      </c>
      <c r="D32">
        <v>-7.431034482758621</v>
      </c>
      <c r="E32">
        <v>-143.69826991676578</v>
      </c>
    </row>
    <row r="33" spans="1:5" x14ac:dyDescent="0.2">
      <c r="A33">
        <v>10663</v>
      </c>
      <c r="B33">
        <v>1</v>
      </c>
      <c r="C33">
        <v>-20.982413793103447</v>
      </c>
      <c r="D33">
        <v>4.568965517241379</v>
      </c>
      <c r="E33">
        <v>-95.867925089179536</v>
      </c>
    </row>
    <row r="34" spans="1:5" x14ac:dyDescent="0.2">
      <c r="A34">
        <v>10673</v>
      </c>
      <c r="B34">
        <v>1</v>
      </c>
      <c r="C34">
        <v>5.547586206896554</v>
      </c>
      <c r="D34">
        <v>17.568965517241381</v>
      </c>
      <c r="E34">
        <v>97.465350772889465</v>
      </c>
    </row>
    <row r="35" spans="1:5" x14ac:dyDescent="0.2">
      <c r="A35">
        <v>10674</v>
      </c>
      <c r="B35">
        <v>1</v>
      </c>
      <c r="C35">
        <v>-9.8524137931034446</v>
      </c>
      <c r="D35">
        <v>-7.431034482758621</v>
      </c>
      <c r="E35">
        <v>73.213626634958359</v>
      </c>
    </row>
    <row r="36" spans="1:5" x14ac:dyDescent="0.2">
      <c r="A36">
        <v>10677</v>
      </c>
      <c r="B36">
        <v>1</v>
      </c>
      <c r="C36">
        <v>-9.68241379310345</v>
      </c>
      <c r="D36">
        <v>-6.431034482758621</v>
      </c>
      <c r="E36">
        <v>62.267936979785986</v>
      </c>
    </row>
    <row r="37" spans="1:5" x14ac:dyDescent="0.2">
      <c r="A37">
        <v>10685</v>
      </c>
      <c r="B37">
        <v>1</v>
      </c>
      <c r="C37">
        <v>-8.6224137931034477</v>
      </c>
      <c r="D37">
        <v>-5.431034482758621</v>
      </c>
      <c r="E37">
        <v>46.828626634958383</v>
      </c>
    </row>
    <row r="38" spans="1:5" x14ac:dyDescent="0.2">
      <c r="A38">
        <v>10691</v>
      </c>
      <c r="B38">
        <v>1</v>
      </c>
      <c r="C38">
        <v>15.217586206896556</v>
      </c>
      <c r="D38">
        <v>5.568965517241379</v>
      </c>
      <c r="E38">
        <v>84.746212841854955</v>
      </c>
    </row>
    <row r="39" spans="1:5" x14ac:dyDescent="0.2">
      <c r="A39">
        <v>10700</v>
      </c>
      <c r="B39">
        <v>1</v>
      </c>
      <c r="C39">
        <v>-19.442413793103448</v>
      </c>
      <c r="D39">
        <v>-1.431034482758621</v>
      </c>
      <c r="E39">
        <v>27.82276456599287</v>
      </c>
    </row>
    <row r="40" spans="1:5" x14ac:dyDescent="0.2">
      <c r="A40">
        <v>10701</v>
      </c>
      <c r="B40">
        <v>1</v>
      </c>
      <c r="C40">
        <v>-16.032413793103448</v>
      </c>
      <c r="D40">
        <v>-0.431034482758621</v>
      </c>
      <c r="E40">
        <v>6.9105231866825259</v>
      </c>
    </row>
    <row r="41" spans="1:5" x14ac:dyDescent="0.2">
      <c r="A41">
        <v>10718</v>
      </c>
      <c r="B41">
        <v>1</v>
      </c>
      <c r="C41">
        <v>-14.752413793103447</v>
      </c>
      <c r="D41">
        <v>-7.431034482758621</v>
      </c>
      <c r="E41">
        <v>109.62569560047562</v>
      </c>
    </row>
    <row r="42" spans="1:5" x14ac:dyDescent="0.2">
      <c r="A42">
        <v>10720</v>
      </c>
      <c r="B42">
        <v>1</v>
      </c>
      <c r="C42">
        <v>-9.6124137931034497</v>
      </c>
      <c r="D42">
        <v>10.568965517241379</v>
      </c>
      <c r="E42">
        <v>-101.59326991676576</v>
      </c>
    </row>
    <row r="43" spans="1:5" x14ac:dyDescent="0.2">
      <c r="A43">
        <v>10723</v>
      </c>
      <c r="B43">
        <v>1</v>
      </c>
      <c r="C43">
        <v>-21.352413793103448</v>
      </c>
      <c r="D43">
        <v>-7.431034482758621</v>
      </c>
      <c r="E43">
        <v>158.67052318668252</v>
      </c>
    </row>
    <row r="44" spans="1:5" x14ac:dyDescent="0.2">
      <c r="A44">
        <v>10741</v>
      </c>
      <c r="B44">
        <v>1</v>
      </c>
      <c r="C44">
        <v>-6.1224137931034477</v>
      </c>
      <c r="D44">
        <v>-7.431034482758621</v>
      </c>
      <c r="E44">
        <v>45.495868014268723</v>
      </c>
    </row>
    <row r="45" spans="1:5" x14ac:dyDescent="0.2">
      <c r="A45">
        <v>10748</v>
      </c>
      <c r="B45">
        <v>1</v>
      </c>
      <c r="C45">
        <v>-9.7524137931034502</v>
      </c>
      <c r="D45">
        <v>12.568965517241379</v>
      </c>
      <c r="E45">
        <v>-122.57775267538646</v>
      </c>
    </row>
    <row r="46" spans="1:5" x14ac:dyDescent="0.2">
      <c r="A46">
        <v>10767</v>
      </c>
      <c r="B46">
        <v>1</v>
      </c>
      <c r="C46">
        <v>-17.542413793103446</v>
      </c>
      <c r="D46">
        <v>11.568965517241379</v>
      </c>
      <c r="E46">
        <v>-202.94758026159332</v>
      </c>
    </row>
    <row r="47" spans="1:5" x14ac:dyDescent="0.2">
      <c r="A47">
        <v>10774</v>
      </c>
      <c r="B47">
        <v>1</v>
      </c>
      <c r="C47">
        <v>2.9475862068965526</v>
      </c>
      <c r="D47">
        <v>4.568965517241379</v>
      </c>
      <c r="E47">
        <v>13.467419738406662</v>
      </c>
    </row>
    <row r="48" spans="1:5" x14ac:dyDescent="0.2">
      <c r="A48">
        <v>10777</v>
      </c>
      <c r="B48">
        <v>1</v>
      </c>
      <c r="C48">
        <v>-4.692413793103448</v>
      </c>
      <c r="D48">
        <v>27.568965517241381</v>
      </c>
      <c r="E48">
        <v>-129.36499405469678</v>
      </c>
    </row>
    <row r="49" spans="1:5" x14ac:dyDescent="0.2">
      <c r="A49">
        <v>10781</v>
      </c>
      <c r="B49">
        <v>1</v>
      </c>
      <c r="C49">
        <v>-5.5224137931034463</v>
      </c>
      <c r="D49">
        <v>0.568965517241379</v>
      </c>
      <c r="E49">
        <v>-3.1420630202140281</v>
      </c>
    </row>
    <row r="50" spans="1:5" x14ac:dyDescent="0.2">
      <c r="A50">
        <v>10783</v>
      </c>
      <c r="B50">
        <v>1</v>
      </c>
      <c r="C50">
        <v>8.1275862068965523</v>
      </c>
      <c r="D50">
        <v>-7.431034482758621</v>
      </c>
      <c r="E50">
        <v>-60.396373365041626</v>
      </c>
    </row>
    <row r="51" spans="1:5" x14ac:dyDescent="0.2">
      <c r="A51">
        <v>10785</v>
      </c>
      <c r="B51">
        <v>1</v>
      </c>
      <c r="C51">
        <v>18.177586206896549</v>
      </c>
      <c r="D51">
        <v>0.568965517241379</v>
      </c>
      <c r="E51">
        <v>10.342419738406653</v>
      </c>
    </row>
    <row r="52" spans="1:5" x14ac:dyDescent="0.2">
      <c r="A52">
        <v>10794</v>
      </c>
      <c r="B52">
        <v>1</v>
      </c>
      <c r="C52">
        <v>-3.3624137931034497</v>
      </c>
      <c r="D52">
        <v>15.568965517241379</v>
      </c>
      <c r="E52">
        <v>-52.349304399524399</v>
      </c>
    </row>
    <row r="53" spans="1:5" x14ac:dyDescent="0.2">
      <c r="A53">
        <v>10800</v>
      </c>
      <c r="B53">
        <v>1</v>
      </c>
      <c r="C53">
        <v>-16.202413793103446</v>
      </c>
      <c r="D53">
        <v>18.568965517241381</v>
      </c>
      <c r="E53">
        <v>-300.86206302021401</v>
      </c>
    </row>
    <row r="54" spans="1:5" x14ac:dyDescent="0.2">
      <c r="A54">
        <v>10801</v>
      </c>
      <c r="B54">
        <v>1</v>
      </c>
      <c r="C54">
        <v>-8.5224137931034463</v>
      </c>
      <c r="D54">
        <v>-7.431034482758621</v>
      </c>
      <c r="E54">
        <v>63.330350772889403</v>
      </c>
    </row>
    <row r="55" spans="1:5" x14ac:dyDescent="0.2">
      <c r="A55">
        <v>10802</v>
      </c>
      <c r="B55">
        <v>1</v>
      </c>
      <c r="C55">
        <v>-0.36241379310344968</v>
      </c>
      <c r="D55">
        <v>6.568965517241379</v>
      </c>
      <c r="E55">
        <v>-2.3806837098692126</v>
      </c>
    </row>
    <row r="56" spans="1:5" x14ac:dyDescent="0.2">
      <c r="A56">
        <v>10803</v>
      </c>
      <c r="B56">
        <v>1</v>
      </c>
      <c r="C56">
        <v>-21.392413793103447</v>
      </c>
      <c r="D56">
        <v>-6.431034482758621</v>
      </c>
      <c r="E56">
        <v>137.57535077288941</v>
      </c>
    </row>
    <row r="57" spans="1:5" x14ac:dyDescent="0.2">
      <c r="A57">
        <v>10804</v>
      </c>
      <c r="B57">
        <v>1</v>
      </c>
      <c r="C57">
        <v>-17.552413793103447</v>
      </c>
      <c r="D57">
        <v>6.568965517241379</v>
      </c>
      <c r="E57">
        <v>-115.3012009512485</v>
      </c>
    </row>
    <row r="58" spans="1:5" x14ac:dyDescent="0.2">
      <c r="A58">
        <v>10806</v>
      </c>
      <c r="B58">
        <v>1</v>
      </c>
      <c r="C58">
        <v>-16.062413793103449</v>
      </c>
      <c r="D58">
        <v>-1.431034482758621</v>
      </c>
      <c r="E58">
        <v>22.985868014268732</v>
      </c>
    </row>
    <row r="59" spans="1:5" x14ac:dyDescent="0.2">
      <c r="A59">
        <v>10807</v>
      </c>
      <c r="B59">
        <v>1</v>
      </c>
      <c r="C59">
        <v>14.99758620689655</v>
      </c>
      <c r="D59">
        <v>-7.431034482758621</v>
      </c>
      <c r="E59">
        <v>-111.44758026159333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2ADDD-8A12-0741-A5F8-7BD7532AB7DF}">
  <dimension ref="A1:I59"/>
  <sheetViews>
    <sheetView tabSelected="1" workbookViewId="0">
      <selection activeCell="N17" sqref="N17"/>
    </sheetView>
  </sheetViews>
  <sheetFormatPr baseColWidth="10" defaultRowHeight="16" x14ac:dyDescent="0.2"/>
  <sheetData>
    <row r="1" spans="1:9" x14ac:dyDescent="0.2">
      <c r="A1" t="s">
        <v>1</v>
      </c>
      <c r="B1" t="s">
        <v>150</v>
      </c>
      <c r="C1" t="s">
        <v>148</v>
      </c>
      <c r="D1" t="s">
        <v>147</v>
      </c>
      <c r="E1" t="s">
        <v>151</v>
      </c>
      <c r="F1" t="s">
        <v>152</v>
      </c>
      <c r="G1" t="s">
        <v>158</v>
      </c>
      <c r="H1" t="s">
        <v>159</v>
      </c>
      <c r="I1" t="s">
        <v>160</v>
      </c>
    </row>
    <row r="2" spans="1:9" x14ac:dyDescent="0.2">
      <c r="A2">
        <v>10369</v>
      </c>
      <c r="B2">
        <v>1</v>
      </c>
      <c r="C2">
        <v>-11.102413793103448</v>
      </c>
      <c r="D2">
        <v>-0.37931034482758585</v>
      </c>
      <c r="E2">
        <v>-7.431034482758621</v>
      </c>
      <c r="F2">
        <v>4.2112604042806145</v>
      </c>
      <c r="G2">
        <v>82.502419738406658</v>
      </c>
      <c r="H2">
        <v>2.8186682520808537</v>
      </c>
      <c r="I2">
        <v>-31.294021280085257</v>
      </c>
    </row>
    <row r="3" spans="1:9" x14ac:dyDescent="0.2">
      <c r="A3">
        <v>10402</v>
      </c>
      <c r="B3">
        <v>1</v>
      </c>
      <c r="C3">
        <v>-7.1124137931034497</v>
      </c>
      <c r="D3">
        <v>-0.27931034482758621</v>
      </c>
      <c r="E3">
        <v>-5.431034482758621</v>
      </c>
      <c r="F3">
        <v>1.986570749108205</v>
      </c>
      <c r="G3">
        <v>38.627764565992877</v>
      </c>
      <c r="H3">
        <v>1.5169441141498217</v>
      </c>
      <c r="I3">
        <v>-10.789134240846286</v>
      </c>
    </row>
    <row r="4" spans="1:9" x14ac:dyDescent="0.2">
      <c r="A4">
        <v>10418</v>
      </c>
      <c r="B4">
        <v>1</v>
      </c>
      <c r="C4">
        <v>25.587586206896553</v>
      </c>
      <c r="D4">
        <v>-0.47931034482758594</v>
      </c>
      <c r="E4">
        <v>-7.431034482758621</v>
      </c>
      <c r="F4">
        <v>-12.264394768133169</v>
      </c>
      <c r="G4">
        <v>-190.14223543400715</v>
      </c>
      <c r="H4">
        <v>3.5617717003567164</v>
      </c>
      <c r="I4">
        <v>91.137140432161999</v>
      </c>
    </row>
    <row r="5" spans="1:9" x14ac:dyDescent="0.2">
      <c r="A5">
        <v>10462</v>
      </c>
      <c r="B5">
        <v>1</v>
      </c>
      <c r="C5">
        <v>18.987586206896552</v>
      </c>
      <c r="D5">
        <v>0.12068965517241415</v>
      </c>
      <c r="E5">
        <v>-7.431034482758621</v>
      </c>
      <c r="F5">
        <v>2.2916052318668321</v>
      </c>
      <c r="G5">
        <v>-141.09740784780024</v>
      </c>
      <c r="H5">
        <v>-0.89684898929845691</v>
      </c>
      <c r="I5">
        <v>-17.028997498872496</v>
      </c>
    </row>
    <row r="6" spans="1:9" x14ac:dyDescent="0.2">
      <c r="A6">
        <v>10478</v>
      </c>
      <c r="B6">
        <v>1</v>
      </c>
      <c r="C6">
        <v>-15.152413793103449</v>
      </c>
      <c r="D6">
        <v>0.52068965517241406</v>
      </c>
      <c r="E6">
        <v>3.568965517241379</v>
      </c>
      <c r="F6">
        <v>-7.8897051129607654</v>
      </c>
      <c r="G6">
        <v>-54.078442330558858</v>
      </c>
      <c r="H6">
        <v>1.85832342449465</v>
      </c>
      <c r="I6">
        <v>-28.158085489359969</v>
      </c>
    </row>
    <row r="7" spans="1:9" x14ac:dyDescent="0.2">
      <c r="A7" s="2">
        <v>10486</v>
      </c>
      <c r="B7">
        <v>1</v>
      </c>
      <c r="C7">
        <v>-1.1424137931034508</v>
      </c>
      <c r="D7">
        <v>-7.9310344827586032E-2</v>
      </c>
      <c r="E7">
        <v>11.568965517241379</v>
      </c>
      <c r="F7">
        <v>9.0605231866825203E-2</v>
      </c>
      <c r="G7">
        <v>-13.21654577883475</v>
      </c>
      <c r="H7">
        <v>-0.91753864447086597</v>
      </c>
      <c r="I7">
        <v>1.0482088031489605</v>
      </c>
    </row>
    <row r="8" spans="1:9" x14ac:dyDescent="0.2">
      <c r="A8">
        <v>10529</v>
      </c>
      <c r="B8">
        <v>1</v>
      </c>
      <c r="C8">
        <v>24.74758620689655</v>
      </c>
      <c r="D8">
        <v>-0.47931034482758594</v>
      </c>
      <c r="E8">
        <v>-3.431034482758621</v>
      </c>
      <c r="F8">
        <v>-11.861774078477994</v>
      </c>
      <c r="G8">
        <v>-84.909821640903687</v>
      </c>
      <c r="H8">
        <v>1.6445303210463726</v>
      </c>
      <c r="I8">
        <v>40.698155889950364</v>
      </c>
    </row>
    <row r="9" spans="1:9" x14ac:dyDescent="0.2">
      <c r="A9">
        <v>10541</v>
      </c>
      <c r="B9">
        <v>1</v>
      </c>
      <c r="C9">
        <v>26.107586206896549</v>
      </c>
      <c r="D9">
        <v>-0.27931034482758621</v>
      </c>
      <c r="E9">
        <v>1.568965517241379</v>
      </c>
      <c r="F9">
        <v>-7.2921189060642089</v>
      </c>
      <c r="G9">
        <v>40.961902497027339</v>
      </c>
      <c r="H9">
        <v>-0.43822829964328175</v>
      </c>
      <c r="I9">
        <v>-11.441083111238671</v>
      </c>
    </row>
    <row r="10" spans="1:9" x14ac:dyDescent="0.2">
      <c r="A10" s="2">
        <v>10572</v>
      </c>
      <c r="B10">
        <v>1</v>
      </c>
      <c r="C10">
        <v>27.407586206896546</v>
      </c>
      <c r="D10">
        <v>-0.47931034482758594</v>
      </c>
      <c r="E10">
        <v>-7.431034482758621</v>
      </c>
      <c r="F10">
        <v>-13.136739595719371</v>
      </c>
      <c r="G10">
        <v>-203.6667181926278</v>
      </c>
      <c r="H10">
        <v>3.5617717003567164</v>
      </c>
      <c r="I10">
        <v>97.619564926811194</v>
      </c>
    </row>
    <row r="11" spans="1:9" x14ac:dyDescent="0.2">
      <c r="A11">
        <v>10581</v>
      </c>
      <c r="B11">
        <v>1</v>
      </c>
      <c r="C11">
        <v>4.9775862068965537</v>
      </c>
      <c r="D11">
        <v>-0.17931034482758612</v>
      </c>
      <c r="E11">
        <v>0.568965517241379</v>
      </c>
      <c r="F11">
        <v>-0.89253269916765754</v>
      </c>
      <c r="G11">
        <v>2.8320749108204515</v>
      </c>
      <c r="H11">
        <v>-0.10202140309155756</v>
      </c>
      <c r="I11">
        <v>-0.50782032883677042</v>
      </c>
    </row>
    <row r="12" spans="1:9" x14ac:dyDescent="0.2">
      <c r="A12">
        <v>10584</v>
      </c>
      <c r="B12">
        <v>1</v>
      </c>
      <c r="C12">
        <v>6.5875862068965532</v>
      </c>
      <c r="D12">
        <v>-7.9310344827586032E-2</v>
      </c>
      <c r="E12">
        <v>-7.431034482758621</v>
      </c>
      <c r="F12">
        <v>-0.5224637336504151</v>
      </c>
      <c r="G12">
        <v>-48.952580261593354</v>
      </c>
      <c r="H12">
        <v>0.58935790725326864</v>
      </c>
      <c r="I12">
        <v>3.8824460207470501</v>
      </c>
    </row>
    <row r="13" spans="1:9" x14ac:dyDescent="0.2">
      <c r="A13" s="2">
        <v>10585</v>
      </c>
      <c r="B13">
        <v>1</v>
      </c>
      <c r="C13">
        <v>20.277586206896551</v>
      </c>
      <c r="D13">
        <v>-7.9310344827586032E-2</v>
      </c>
      <c r="E13">
        <v>0.568965517241379</v>
      </c>
      <c r="F13">
        <v>-1.6082223543400678</v>
      </c>
      <c r="G13">
        <v>11.537247324613549</v>
      </c>
      <c r="H13">
        <v>-4.5124851367419616E-2</v>
      </c>
      <c r="I13">
        <v>-0.91502306367624497</v>
      </c>
    </row>
    <row r="14" spans="1:9" x14ac:dyDescent="0.2">
      <c r="A14">
        <v>10589</v>
      </c>
      <c r="B14">
        <v>1</v>
      </c>
      <c r="C14">
        <v>-8.18241379310345</v>
      </c>
      <c r="D14">
        <v>0.82068965517241388</v>
      </c>
      <c r="E14">
        <v>-5.431034482758621</v>
      </c>
      <c r="F14">
        <v>-6.7152223543400735</v>
      </c>
      <c r="G14">
        <v>44.4389714625446</v>
      </c>
      <c r="H14">
        <v>-4.4571938168846614</v>
      </c>
      <c r="I14">
        <v>36.470604165812468</v>
      </c>
    </row>
    <row r="15" spans="1:9" x14ac:dyDescent="0.2">
      <c r="A15">
        <v>10590</v>
      </c>
      <c r="B15">
        <v>1</v>
      </c>
      <c r="C15">
        <v>13.347586206896551</v>
      </c>
      <c r="D15">
        <v>-0.17931034482758612</v>
      </c>
      <c r="E15">
        <v>-7.431034482758621</v>
      </c>
      <c r="F15">
        <v>-2.3933602853745528</v>
      </c>
      <c r="G15">
        <v>-99.186373365041618</v>
      </c>
      <c r="H15">
        <v>1.3324613555291314</v>
      </c>
      <c r="I15">
        <v>17.785142810283315</v>
      </c>
    </row>
    <row r="16" spans="1:9" x14ac:dyDescent="0.2">
      <c r="A16">
        <v>10596</v>
      </c>
      <c r="B16">
        <v>1</v>
      </c>
      <c r="C16">
        <v>-15.782413793103448</v>
      </c>
      <c r="D16">
        <v>0.52068965517241406</v>
      </c>
      <c r="E16">
        <v>5.568965517241379</v>
      </c>
      <c r="F16">
        <v>-8.2177395957193848</v>
      </c>
      <c r="G16">
        <v>-87.89171819262782</v>
      </c>
      <c r="H16">
        <v>2.8997027348394782</v>
      </c>
      <c r="I16">
        <v>-45.764308438230366</v>
      </c>
    </row>
    <row r="17" spans="1:9" x14ac:dyDescent="0.2">
      <c r="A17">
        <v>10603</v>
      </c>
      <c r="B17">
        <v>1</v>
      </c>
      <c r="C17">
        <v>26.167586206896551</v>
      </c>
      <c r="D17">
        <v>-0.67931034482758612</v>
      </c>
      <c r="E17">
        <v>-7.431034482758621</v>
      </c>
      <c r="F17">
        <v>-17.775912009512481</v>
      </c>
      <c r="G17">
        <v>-194.45223543400715</v>
      </c>
      <c r="H17">
        <v>5.0479785969084423</v>
      </c>
      <c r="I17">
        <v>132.09341510517035</v>
      </c>
    </row>
    <row r="18" spans="1:9" x14ac:dyDescent="0.2">
      <c r="A18">
        <v>10606</v>
      </c>
      <c r="B18">
        <v>1</v>
      </c>
      <c r="C18">
        <v>-20.652413793103449</v>
      </c>
      <c r="D18">
        <v>0.12068965517241415</v>
      </c>
      <c r="E18">
        <v>-7.431034482758621</v>
      </c>
      <c r="F18">
        <v>-2.4925326991676648</v>
      </c>
      <c r="G18">
        <v>153.46879904875149</v>
      </c>
      <c r="H18">
        <v>-0.89684898929845691</v>
      </c>
      <c r="I18">
        <v>18.522096436918339</v>
      </c>
    </row>
    <row r="19" spans="1:9" x14ac:dyDescent="0.2">
      <c r="A19">
        <v>10608</v>
      </c>
      <c r="B19">
        <v>1</v>
      </c>
      <c r="C19">
        <v>-13.982413793103447</v>
      </c>
      <c r="D19">
        <v>-0.17931034482758612</v>
      </c>
      <c r="E19">
        <v>-7.431034482758621</v>
      </c>
      <c r="F19">
        <v>2.5071914387633756</v>
      </c>
      <c r="G19">
        <v>103.90379904875148</v>
      </c>
      <c r="H19">
        <v>1.3324613555291314</v>
      </c>
      <c r="I19">
        <v>-18.631026036327842</v>
      </c>
    </row>
    <row r="20" spans="1:9" x14ac:dyDescent="0.2">
      <c r="A20">
        <v>10617</v>
      </c>
      <c r="B20">
        <v>1</v>
      </c>
      <c r="C20">
        <v>30.347586206896558</v>
      </c>
      <c r="D20">
        <v>-0.27931034482758621</v>
      </c>
      <c r="E20">
        <v>-7.431034482758621</v>
      </c>
      <c r="F20">
        <v>-8.4763947681331775</v>
      </c>
      <c r="G20">
        <v>-225.51395957193822</v>
      </c>
      <c r="H20">
        <v>2.0755648038049941</v>
      </c>
      <c r="I20">
        <v>62.988381811472408</v>
      </c>
    </row>
    <row r="21" spans="1:9" x14ac:dyDescent="0.2">
      <c r="A21">
        <v>10636</v>
      </c>
      <c r="B21">
        <v>1</v>
      </c>
      <c r="C21">
        <v>-16.242413793103449</v>
      </c>
      <c r="D21">
        <v>1.2206896551724138</v>
      </c>
      <c r="E21">
        <v>-3.431034482758621</v>
      </c>
      <c r="F21">
        <v>-19.826946492271105</v>
      </c>
      <c r="G21">
        <v>55.728281807372184</v>
      </c>
      <c r="H21">
        <v>-4.1882282996432822</v>
      </c>
      <c r="I21">
        <v>68.026937102792246</v>
      </c>
    </row>
    <row r="22" spans="1:9" x14ac:dyDescent="0.2">
      <c r="A22">
        <v>10638</v>
      </c>
      <c r="B22">
        <v>1</v>
      </c>
      <c r="C22">
        <v>28.777586206896551</v>
      </c>
      <c r="D22">
        <v>-7.9310344827586032E-2</v>
      </c>
      <c r="E22">
        <v>0.568965517241379</v>
      </c>
      <c r="F22">
        <v>-2.282360285374549</v>
      </c>
      <c r="G22">
        <v>16.373454221165272</v>
      </c>
      <c r="H22">
        <v>-4.5124851367419616E-2</v>
      </c>
      <c r="I22">
        <v>-1.2985843002993116</v>
      </c>
    </row>
    <row r="23" spans="1:9" x14ac:dyDescent="0.2">
      <c r="A23">
        <v>10640</v>
      </c>
      <c r="B23">
        <v>1</v>
      </c>
      <c r="C23">
        <v>-11.322413793103447</v>
      </c>
      <c r="D23">
        <v>0.22068965517241379</v>
      </c>
      <c r="E23">
        <v>0.568965517241379</v>
      </c>
      <c r="F23">
        <v>-2.4987395957193814</v>
      </c>
      <c r="G23">
        <v>-6.442063020214027</v>
      </c>
      <c r="H23">
        <v>0.12556480380499399</v>
      </c>
      <c r="I23">
        <v>-1.4216966665299922</v>
      </c>
    </row>
    <row r="24" spans="1:9" x14ac:dyDescent="0.2">
      <c r="A24">
        <v>10641</v>
      </c>
      <c r="B24">
        <v>1</v>
      </c>
      <c r="C24">
        <v>1.6275862068965523</v>
      </c>
      <c r="D24">
        <v>-0.57931034482758603</v>
      </c>
      <c r="E24">
        <v>8.568965517241379</v>
      </c>
      <c r="F24">
        <v>-0.94287752675386449</v>
      </c>
      <c r="G24">
        <v>13.94673008323425</v>
      </c>
      <c r="H24">
        <v>-4.9640903686087974</v>
      </c>
      <c r="I24">
        <v>-8.0794850137357006</v>
      </c>
    </row>
    <row r="25" spans="1:9" x14ac:dyDescent="0.2">
      <c r="A25">
        <v>10642</v>
      </c>
      <c r="B25">
        <v>1</v>
      </c>
      <c r="C25">
        <v>-11.152413793103449</v>
      </c>
      <c r="D25">
        <v>-0.47931034482758594</v>
      </c>
      <c r="E25">
        <v>6.568965517241379</v>
      </c>
      <c r="F25">
        <v>5.3454673008323397</v>
      </c>
      <c r="G25">
        <v>-73.259821640903681</v>
      </c>
      <c r="H25">
        <v>-3.1485731272294868</v>
      </c>
      <c r="I25">
        <v>35.11419037270899</v>
      </c>
    </row>
    <row r="26" spans="1:9" x14ac:dyDescent="0.2">
      <c r="A26">
        <v>10644</v>
      </c>
      <c r="B26">
        <v>1</v>
      </c>
      <c r="C26">
        <v>26.357586206896549</v>
      </c>
      <c r="D26">
        <v>-7.9310344827586032E-2</v>
      </c>
      <c r="E26">
        <v>-4.431034482758621</v>
      </c>
      <c r="F26">
        <v>-2.0904292508917908</v>
      </c>
      <c r="G26">
        <v>-116.79137336504161</v>
      </c>
      <c r="H26">
        <v>0.35142687277051055</v>
      </c>
      <c r="I26">
        <v>9.2627640944687979</v>
      </c>
    </row>
    <row r="27" spans="1:9" x14ac:dyDescent="0.2">
      <c r="A27">
        <v>10647</v>
      </c>
      <c r="B27">
        <v>1</v>
      </c>
      <c r="C27">
        <v>-18.462413793103448</v>
      </c>
      <c r="D27">
        <v>0.22068965517241379</v>
      </c>
      <c r="E27">
        <v>-1.431034482758621</v>
      </c>
      <c r="F27">
        <v>-4.0744637336504157</v>
      </c>
      <c r="G27">
        <v>26.420350772889421</v>
      </c>
      <c r="H27">
        <v>-0.31581450653983362</v>
      </c>
      <c r="I27">
        <v>5.8306981016031827</v>
      </c>
    </row>
    <row r="28" spans="1:9" x14ac:dyDescent="0.2">
      <c r="A28">
        <v>10649</v>
      </c>
      <c r="B28">
        <v>1</v>
      </c>
      <c r="C28">
        <v>20.74758620689655</v>
      </c>
      <c r="D28">
        <v>0.62068965517241415</v>
      </c>
      <c r="E28">
        <v>-3.431034482758621</v>
      </c>
      <c r="F28">
        <v>12.877812128418556</v>
      </c>
      <c r="G28">
        <v>-71.18568370986921</v>
      </c>
      <c r="H28">
        <v>-2.1296076099881107</v>
      </c>
      <c r="I28">
        <v>-44.184217475091259</v>
      </c>
    </row>
    <row r="29" spans="1:9" x14ac:dyDescent="0.2">
      <c r="A29">
        <v>10652</v>
      </c>
      <c r="B29">
        <v>1</v>
      </c>
      <c r="C29">
        <v>26.99758620689655</v>
      </c>
      <c r="D29">
        <v>-7.9310344827586032E-2</v>
      </c>
      <c r="E29">
        <v>-7.431034482758621</v>
      </c>
      <c r="F29">
        <v>-2.1411878715814456</v>
      </c>
      <c r="G29">
        <v>-200.61999405469678</v>
      </c>
      <c r="H29">
        <v>0.58935790725326864</v>
      </c>
      <c r="I29">
        <v>15.91124090778626</v>
      </c>
    </row>
    <row r="30" spans="1:9" x14ac:dyDescent="0.2">
      <c r="A30">
        <v>10656</v>
      </c>
      <c r="B30">
        <v>1</v>
      </c>
      <c r="C30">
        <v>-21.622413793103448</v>
      </c>
      <c r="D30">
        <v>-0.27931034482758621</v>
      </c>
      <c r="E30">
        <v>4.568965517241379</v>
      </c>
      <c r="F30">
        <v>6.0393638525564803</v>
      </c>
      <c r="G30">
        <v>-98.792063020214016</v>
      </c>
      <c r="H30">
        <v>-1.2761593341260404</v>
      </c>
      <c r="I30">
        <v>27.593645188404608</v>
      </c>
    </row>
    <row r="31" spans="1:9" x14ac:dyDescent="0.2">
      <c r="A31">
        <v>10657</v>
      </c>
      <c r="B31">
        <v>1</v>
      </c>
      <c r="C31">
        <v>15.927586206896549</v>
      </c>
      <c r="D31">
        <v>-0.77931034482758621</v>
      </c>
      <c r="E31">
        <v>2.568965517241379</v>
      </c>
      <c r="F31">
        <v>-12.412532699167656</v>
      </c>
      <c r="G31">
        <v>40.91741973840665</v>
      </c>
      <c r="H31">
        <v>-2.0020214030915575</v>
      </c>
      <c r="I31">
        <v>-31.887368485792766</v>
      </c>
    </row>
    <row r="32" spans="1:9" x14ac:dyDescent="0.2">
      <c r="A32">
        <v>10659</v>
      </c>
      <c r="B32">
        <v>1</v>
      </c>
      <c r="C32">
        <v>19.337586206896553</v>
      </c>
      <c r="D32">
        <v>0.72068965517241379</v>
      </c>
      <c r="E32">
        <v>-7.431034482758621</v>
      </c>
      <c r="F32">
        <v>13.936398335315102</v>
      </c>
      <c r="G32">
        <v>-143.69826991676578</v>
      </c>
      <c r="H32">
        <v>-5.3554696789536269</v>
      </c>
      <c r="I32">
        <v>-103.56185659518637</v>
      </c>
    </row>
    <row r="33" spans="1:9" x14ac:dyDescent="0.2">
      <c r="A33">
        <v>10663</v>
      </c>
      <c r="B33">
        <v>1</v>
      </c>
      <c r="C33">
        <v>-20.982413793103447</v>
      </c>
      <c r="D33">
        <v>1.2206896551724138</v>
      </c>
      <c r="E33">
        <v>4.568965517241379</v>
      </c>
      <c r="F33">
        <v>-25.613015457788347</v>
      </c>
      <c r="G33">
        <v>-95.867925089179536</v>
      </c>
      <c r="H33">
        <v>5.5772889417360281</v>
      </c>
      <c r="I33">
        <v>-117.02498441920537</v>
      </c>
    </row>
    <row r="34" spans="1:9" x14ac:dyDescent="0.2">
      <c r="A34">
        <v>10673</v>
      </c>
      <c r="B34">
        <v>1</v>
      </c>
      <c r="C34">
        <v>5.547586206896554</v>
      </c>
      <c r="D34">
        <v>0.62068965517241415</v>
      </c>
      <c r="E34">
        <v>17.568965517241381</v>
      </c>
      <c r="F34">
        <v>3.4433293697978629</v>
      </c>
      <c r="G34">
        <v>97.465350772889465</v>
      </c>
      <c r="H34">
        <v>10.904875148632588</v>
      </c>
      <c r="I34">
        <v>60.495734962483148</v>
      </c>
    </row>
    <row r="35" spans="1:9" x14ac:dyDescent="0.2">
      <c r="A35">
        <v>10674</v>
      </c>
      <c r="B35">
        <v>1</v>
      </c>
      <c r="C35">
        <v>-9.8524137931034446</v>
      </c>
      <c r="D35">
        <v>-0.57931034482758603</v>
      </c>
      <c r="E35">
        <v>-7.431034482758621</v>
      </c>
      <c r="F35">
        <v>5.7076052318668209</v>
      </c>
      <c r="G35">
        <v>73.213626634958359</v>
      </c>
      <c r="H35">
        <v>4.3048751486325791</v>
      </c>
      <c r="I35">
        <v>-42.413411291975862</v>
      </c>
    </row>
    <row r="36" spans="1:9" x14ac:dyDescent="0.2">
      <c r="A36">
        <v>10677</v>
      </c>
      <c r="B36">
        <v>1</v>
      </c>
      <c r="C36">
        <v>-9.68241379310345</v>
      </c>
      <c r="D36">
        <v>-0.67931034482758612</v>
      </c>
      <c r="E36">
        <v>-6.431034482758621</v>
      </c>
      <c r="F36">
        <v>6.5773638525564806</v>
      </c>
      <c r="G36">
        <v>62.267936979785986</v>
      </c>
      <c r="H36">
        <v>4.3686682520808562</v>
      </c>
      <c r="I36">
        <v>-42.299253741440815</v>
      </c>
    </row>
    <row r="37" spans="1:9" x14ac:dyDescent="0.2">
      <c r="A37">
        <v>10685</v>
      </c>
      <c r="B37">
        <v>1</v>
      </c>
      <c r="C37">
        <v>-8.6224137931034477</v>
      </c>
      <c r="D37">
        <v>0.32068965517241388</v>
      </c>
      <c r="E37">
        <v>-5.431034482758621</v>
      </c>
      <c r="F37">
        <v>-2.7651189060642096</v>
      </c>
      <c r="G37">
        <v>46.828626634958383</v>
      </c>
      <c r="H37">
        <v>-1.7416765755053514</v>
      </c>
      <c r="I37">
        <v>15.017456127762518</v>
      </c>
    </row>
    <row r="38" spans="1:9" x14ac:dyDescent="0.2">
      <c r="A38">
        <v>10691</v>
      </c>
      <c r="B38">
        <v>1</v>
      </c>
      <c r="C38">
        <v>15.217586206896556</v>
      </c>
      <c r="D38">
        <v>0.22068965517241379</v>
      </c>
      <c r="E38">
        <v>5.568965517241379</v>
      </c>
      <c r="F38">
        <v>3.3583638525564812</v>
      </c>
      <c r="G38">
        <v>84.746212841854955</v>
      </c>
      <c r="H38">
        <v>1.2290130796670629</v>
      </c>
      <c r="I38">
        <v>18.702612489236955</v>
      </c>
    </row>
    <row r="39" spans="1:9" x14ac:dyDescent="0.2">
      <c r="A39">
        <v>10700</v>
      </c>
      <c r="B39">
        <v>1</v>
      </c>
      <c r="C39">
        <v>-19.442413793103448</v>
      </c>
      <c r="D39">
        <v>0.42068965517241397</v>
      </c>
      <c r="E39">
        <v>-1.431034482758621</v>
      </c>
      <c r="F39">
        <v>-8.1792223543400748</v>
      </c>
      <c r="G39">
        <v>27.82276456599287</v>
      </c>
      <c r="H39">
        <v>-0.60202140309155805</v>
      </c>
      <c r="I39">
        <v>11.704749231210799</v>
      </c>
    </row>
    <row r="40" spans="1:9" x14ac:dyDescent="0.2">
      <c r="A40">
        <v>10701</v>
      </c>
      <c r="B40">
        <v>1</v>
      </c>
      <c r="C40">
        <v>-16.032413793103448</v>
      </c>
      <c r="D40">
        <v>0.42068965517241397</v>
      </c>
      <c r="E40">
        <v>-0.431034482758621</v>
      </c>
      <c r="F40">
        <v>-6.7446706302021431</v>
      </c>
      <c r="G40">
        <v>6.9105231866825259</v>
      </c>
      <c r="H40">
        <v>-0.18133174791914408</v>
      </c>
      <c r="I40">
        <v>2.9071856164664429</v>
      </c>
    </row>
    <row r="41" spans="1:9" x14ac:dyDescent="0.2">
      <c r="A41">
        <v>10718</v>
      </c>
      <c r="B41">
        <v>1</v>
      </c>
      <c r="C41">
        <v>-14.752413793103447</v>
      </c>
      <c r="D41">
        <v>-0.47931034482758594</v>
      </c>
      <c r="E41">
        <v>-7.431034482758621</v>
      </c>
      <c r="F41">
        <v>7.0709845422116482</v>
      </c>
      <c r="G41">
        <v>109.62569560047562</v>
      </c>
      <c r="H41">
        <v>3.5617717003567164</v>
      </c>
      <c r="I41">
        <v>-52.54472996022794</v>
      </c>
    </row>
    <row r="42" spans="1:9" x14ac:dyDescent="0.2">
      <c r="A42">
        <v>10720</v>
      </c>
      <c r="B42">
        <v>1</v>
      </c>
      <c r="C42">
        <v>-9.6124137931034497</v>
      </c>
      <c r="D42">
        <v>0.22068965517241379</v>
      </c>
      <c r="E42">
        <v>10.568965517241379</v>
      </c>
      <c r="F42">
        <v>-2.1213602853745543</v>
      </c>
      <c r="G42">
        <v>-101.59326991676576</v>
      </c>
      <c r="H42">
        <v>2.3324613555291318</v>
      </c>
      <c r="I42">
        <v>-22.420583705768998</v>
      </c>
    </row>
    <row r="43" spans="1:9" x14ac:dyDescent="0.2">
      <c r="A43">
        <v>10723</v>
      </c>
      <c r="B43">
        <v>1</v>
      </c>
      <c r="C43">
        <v>-21.352413793103448</v>
      </c>
      <c r="D43">
        <v>-7.9310344827586032E-2</v>
      </c>
      <c r="E43">
        <v>-7.431034482758621</v>
      </c>
      <c r="F43">
        <v>1.6934673008323387</v>
      </c>
      <c r="G43">
        <v>158.67052318668252</v>
      </c>
      <c r="H43">
        <v>0.58935790725326864</v>
      </c>
      <c r="I43">
        <v>-12.584213907909275</v>
      </c>
    </row>
    <row r="44" spans="1:9" x14ac:dyDescent="0.2">
      <c r="A44">
        <v>10741</v>
      </c>
      <c r="B44">
        <v>1</v>
      </c>
      <c r="C44">
        <v>-6.1224137931034477</v>
      </c>
      <c r="D44">
        <v>0.72068965517241379</v>
      </c>
      <c r="E44">
        <v>-7.431034482758621</v>
      </c>
      <c r="F44">
        <v>-4.4123602853745538</v>
      </c>
      <c r="G44">
        <v>45.495868014268723</v>
      </c>
      <c r="H44">
        <v>-5.3554696789536269</v>
      </c>
      <c r="I44">
        <v>32.788401430972982</v>
      </c>
    </row>
    <row r="45" spans="1:9" x14ac:dyDescent="0.2">
      <c r="A45">
        <v>10748</v>
      </c>
      <c r="B45">
        <v>1</v>
      </c>
      <c r="C45">
        <v>-9.7524137931034502</v>
      </c>
      <c r="D45">
        <v>-1.079310344827586</v>
      </c>
      <c r="E45">
        <v>12.568965517241379</v>
      </c>
      <c r="F45">
        <v>10.525881093935791</v>
      </c>
      <c r="G45">
        <v>-122.57775267538646</v>
      </c>
      <c r="H45">
        <v>-13.56581450653983</v>
      </c>
      <c r="I45">
        <v>132.29943650826192</v>
      </c>
    </row>
    <row r="46" spans="1:9" x14ac:dyDescent="0.2">
      <c r="A46">
        <v>10767</v>
      </c>
      <c r="B46">
        <v>1</v>
      </c>
      <c r="C46">
        <v>-17.542413793103446</v>
      </c>
      <c r="D46">
        <v>0.42068965517241397</v>
      </c>
      <c r="E46">
        <v>11.568965517241379</v>
      </c>
      <c r="F46">
        <v>-7.3799120095124868</v>
      </c>
      <c r="G46">
        <v>-202.94758026159332</v>
      </c>
      <c r="H46">
        <v>4.866944114149824</v>
      </c>
      <c r="I46">
        <v>-85.377947558325488</v>
      </c>
    </row>
    <row r="47" spans="1:9" x14ac:dyDescent="0.2">
      <c r="A47">
        <v>10774</v>
      </c>
      <c r="B47">
        <v>1</v>
      </c>
      <c r="C47">
        <v>2.9475862068965526</v>
      </c>
      <c r="D47">
        <v>-1.1793103448275861</v>
      </c>
      <c r="E47">
        <v>4.568965517241379</v>
      </c>
      <c r="F47">
        <v>-3.4761189060642099</v>
      </c>
      <c r="G47">
        <v>13.467419738406662</v>
      </c>
      <c r="H47">
        <v>-5.3882282996432806</v>
      </c>
      <c r="I47">
        <v>-15.8822674156382</v>
      </c>
    </row>
    <row r="48" spans="1:9" x14ac:dyDescent="0.2">
      <c r="A48">
        <v>10777</v>
      </c>
      <c r="B48">
        <v>1</v>
      </c>
      <c r="C48">
        <v>-4.692413793103448</v>
      </c>
      <c r="D48">
        <v>0.72068965517241379</v>
      </c>
      <c r="E48">
        <v>27.568965517241381</v>
      </c>
      <c r="F48">
        <v>-3.3817740784780019</v>
      </c>
      <c r="G48">
        <v>-129.36499405469678</v>
      </c>
      <c r="H48">
        <v>19.868668252080859</v>
      </c>
      <c r="I48">
        <v>-93.232012956660782</v>
      </c>
    </row>
    <row r="49" spans="1:9" x14ac:dyDescent="0.2">
      <c r="A49">
        <v>10781</v>
      </c>
      <c r="B49">
        <v>1</v>
      </c>
      <c r="C49">
        <v>-5.5224137931034463</v>
      </c>
      <c r="D49">
        <v>1.2206896551724138</v>
      </c>
      <c r="E49">
        <v>0.568965517241379</v>
      </c>
      <c r="F49">
        <v>-6.7411533888228279</v>
      </c>
      <c r="G49">
        <v>-3.1420630202140281</v>
      </c>
      <c r="H49">
        <v>0.69453032104637302</v>
      </c>
      <c r="I49">
        <v>-3.8354838246750553</v>
      </c>
    </row>
    <row r="50" spans="1:9" x14ac:dyDescent="0.2">
      <c r="A50">
        <v>10783</v>
      </c>
      <c r="B50">
        <v>1</v>
      </c>
      <c r="C50">
        <v>8.1275862068965523</v>
      </c>
      <c r="D50">
        <v>0.32068965517241388</v>
      </c>
      <c r="E50">
        <v>-7.431034482758621</v>
      </c>
      <c r="F50">
        <v>2.6064328180737228</v>
      </c>
      <c r="G50">
        <v>-60.396373365041626</v>
      </c>
      <c r="H50">
        <v>-2.3830558858501791</v>
      </c>
      <c r="I50">
        <v>-19.368492148099563</v>
      </c>
    </row>
    <row r="51" spans="1:9" x14ac:dyDescent="0.2">
      <c r="A51">
        <v>10785</v>
      </c>
      <c r="B51">
        <v>1</v>
      </c>
      <c r="C51">
        <v>18.177586206896549</v>
      </c>
      <c r="D51">
        <v>-0.17931034482758612</v>
      </c>
      <c r="E51">
        <v>0.568965517241379</v>
      </c>
      <c r="F51">
        <v>-3.2594292508917935</v>
      </c>
      <c r="G51">
        <v>10.342419738406653</v>
      </c>
      <c r="H51">
        <v>-0.10202140309155756</v>
      </c>
      <c r="I51">
        <v>-1.8545028496453297</v>
      </c>
    </row>
    <row r="52" spans="1:9" x14ac:dyDescent="0.2">
      <c r="A52">
        <v>10794</v>
      </c>
      <c r="B52">
        <v>1</v>
      </c>
      <c r="C52">
        <v>-3.3624137931034497</v>
      </c>
      <c r="D52">
        <v>-7.9310344827586032E-2</v>
      </c>
      <c r="E52">
        <v>15.568965517241379</v>
      </c>
      <c r="F52">
        <v>0.26667419738406611</v>
      </c>
      <c r="G52">
        <v>-52.349304399524399</v>
      </c>
      <c r="H52">
        <v>-1.2347800237812101</v>
      </c>
      <c r="I52">
        <v>4.1518413834105461</v>
      </c>
    </row>
    <row r="53" spans="1:9" x14ac:dyDescent="0.2">
      <c r="A53">
        <v>10800</v>
      </c>
      <c r="B53">
        <v>1</v>
      </c>
      <c r="C53">
        <v>-16.202413793103446</v>
      </c>
      <c r="D53">
        <v>0.42068965517241397</v>
      </c>
      <c r="E53">
        <v>18.568965517241381</v>
      </c>
      <c r="F53">
        <v>-6.8161878715814526</v>
      </c>
      <c r="G53">
        <v>-300.86206302021401</v>
      </c>
      <c r="H53">
        <v>7.8117717003567222</v>
      </c>
      <c r="I53">
        <v>-126.56955754643491</v>
      </c>
    </row>
    <row r="54" spans="1:9" x14ac:dyDescent="0.2">
      <c r="A54">
        <v>10801</v>
      </c>
      <c r="B54">
        <v>1</v>
      </c>
      <c r="C54">
        <v>-8.5224137931034463</v>
      </c>
      <c r="D54">
        <v>0.32068965517241388</v>
      </c>
      <c r="E54">
        <v>-7.431034482758621</v>
      </c>
      <c r="F54">
        <v>-2.7330499405469681</v>
      </c>
      <c r="G54">
        <v>63.330350772889403</v>
      </c>
      <c r="H54">
        <v>-2.3830558858501791</v>
      </c>
      <c r="I54">
        <v>20.30938835130592</v>
      </c>
    </row>
    <row r="55" spans="1:9" x14ac:dyDescent="0.2">
      <c r="A55">
        <v>10802</v>
      </c>
      <c r="B55">
        <v>1</v>
      </c>
      <c r="C55">
        <v>-0.36241379310344968</v>
      </c>
      <c r="D55">
        <v>0.12068965517241415</v>
      </c>
      <c r="E55">
        <v>6.568965517241379</v>
      </c>
      <c r="F55">
        <v>-4.3739595719381984E-2</v>
      </c>
      <c r="G55">
        <v>-2.3806837098692126</v>
      </c>
      <c r="H55">
        <v>0.79280618311534112</v>
      </c>
      <c r="I55">
        <v>-0.2873238960186989</v>
      </c>
    </row>
    <row r="56" spans="1:9" x14ac:dyDescent="0.2">
      <c r="A56">
        <v>10803</v>
      </c>
      <c r="B56">
        <v>1</v>
      </c>
      <c r="C56">
        <v>-21.392413793103447</v>
      </c>
      <c r="D56">
        <v>-0.37931034482758585</v>
      </c>
      <c r="E56">
        <v>-6.431034482758621</v>
      </c>
      <c r="F56">
        <v>8.1143638525564725</v>
      </c>
      <c r="G56">
        <v>137.57535077288941</v>
      </c>
      <c r="H56">
        <v>2.4393579072532678</v>
      </c>
      <c r="I56">
        <v>-52.183753741440768</v>
      </c>
    </row>
    <row r="57" spans="1:9" x14ac:dyDescent="0.2">
      <c r="A57">
        <v>10804</v>
      </c>
      <c r="B57">
        <v>1</v>
      </c>
      <c r="C57">
        <v>-17.552413793103447</v>
      </c>
      <c r="D57">
        <v>-7.9310344827586032E-2</v>
      </c>
      <c r="E57">
        <v>6.568965517241379</v>
      </c>
      <c r="F57">
        <v>1.3920879904875116</v>
      </c>
      <c r="G57">
        <v>-115.3012009512485</v>
      </c>
      <c r="H57">
        <v>-0.52098692033293581</v>
      </c>
      <c r="I57">
        <v>9.1445780064783087</v>
      </c>
    </row>
    <row r="58" spans="1:9" x14ac:dyDescent="0.2">
      <c r="A58">
        <v>10806</v>
      </c>
      <c r="B58">
        <v>1</v>
      </c>
      <c r="C58">
        <v>-16.062413793103449</v>
      </c>
      <c r="D58">
        <v>-0.67931034482758612</v>
      </c>
      <c r="E58">
        <v>-1.431034482758621</v>
      </c>
      <c r="F58">
        <v>10.91136385255648</v>
      </c>
      <c r="G58">
        <v>22.985868014268732</v>
      </c>
      <c r="H58">
        <v>0.97211652794292513</v>
      </c>
      <c r="I58">
        <v>-15.614537926934277</v>
      </c>
    </row>
    <row r="59" spans="1:9" x14ac:dyDescent="0.2">
      <c r="A59">
        <v>10807</v>
      </c>
      <c r="B59">
        <v>1</v>
      </c>
      <c r="C59">
        <v>14.99758620689655</v>
      </c>
      <c r="D59">
        <v>-0.87931034482758585</v>
      </c>
      <c r="E59">
        <v>-7.431034482758621</v>
      </c>
      <c r="F59">
        <v>-13.187532699167651</v>
      </c>
      <c r="G59">
        <v>-111.44758026159333</v>
      </c>
      <c r="H59">
        <v>6.5341854934601642</v>
      </c>
      <c r="I59">
        <v>97.997010230021687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age-only</vt:lpstr>
      <vt:lpstr>ageXnbs</vt:lpstr>
      <vt:lpstr>ageXoafem</vt:lpstr>
      <vt:lpstr>ageXnbsXoafem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 Dachs</dc:creator>
  <cp:lastModifiedBy>Jimmy Wyngaarden</cp:lastModifiedBy>
  <dcterms:created xsi:type="dcterms:W3CDTF">2023-10-27T14:46:31Z</dcterms:created>
  <dcterms:modified xsi:type="dcterms:W3CDTF">2023-11-06T17:26:32Z</dcterms:modified>
</cp:coreProperties>
</file>